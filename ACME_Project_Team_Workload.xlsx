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Info" sheetId="1" state="visible" r:id="rId1"/>
    <sheet name="Sprints" sheetId="2" state="visible" r:id="rId2"/>
    <sheet name="Stakeholders" sheetId="3" state="visible" r:id="rId3"/>
    <sheet name="Organization" sheetId="4" state="visible" r:id="rId4"/>
    <sheet name="Teams" sheetId="5" state="visible" r:id="rId5"/>
    <sheet name="Activities" sheetId="6" state="visible" r:id="rId6"/>
    <sheet name="RACI" sheetId="7" state="visible" r:id="rId7"/>
    <sheet name="Risks_Issues" sheetId="8" state="visible" r:id="rId8"/>
    <sheet name="Resource_Workload" sheetId="9" state="visible" r:id="rId9"/>
    <sheet name="Summary_ART" sheetId="10" state="visible" r:id="rId10"/>
    <sheet name="Summary_Team" sheetId="11" state="visible" r:id="rId11"/>
    <sheet name="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5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Name</t>
        </is>
      </c>
      <c r="B2" t="inlineStr">
        <is>
          <t>ACME Systems Engineering - Drone Swarm System (Example)</t>
        </is>
      </c>
    </row>
    <row r="3">
      <c r="A3" t="inlineStr">
        <is>
          <t>Description</t>
        </is>
      </c>
      <c r="B3" t="inlineStr">
        <is>
          <t>Workbook for team organization, stakeholders, and resource workload tracking.</t>
        </is>
      </c>
    </row>
    <row r="4">
      <c r="A4" t="inlineStr">
        <is>
          <t>Owner</t>
        </is>
      </c>
      <c r="B4" t="inlineStr">
        <is>
          <t>Moneypenny (Solution Management)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Last Generated</t>
        </is>
      </c>
      <c r="B6" t="inlineStr">
        <is>
          <t>2025-10-28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Sprint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Length (days)</t>
        </is>
      </c>
    </row>
    <row r="2">
      <c r="A2" t="inlineStr">
        <is>
          <t>Sprint 1</t>
        </is>
      </c>
      <c r="B2" t="inlineStr">
        <is>
          <t>2025-11-03</t>
        </is>
      </c>
      <c r="C2" t="inlineStr">
        <is>
          <t>2025-11-16</t>
        </is>
      </c>
      <c r="D2" t="n">
        <v>14</v>
      </c>
    </row>
    <row r="3">
      <c r="A3" t="inlineStr">
        <is>
          <t>Sprint 2</t>
        </is>
      </c>
      <c r="B3" t="inlineStr">
        <is>
          <t>2025-11-17</t>
        </is>
      </c>
      <c r="C3" t="inlineStr">
        <is>
          <t>2025-11-30</t>
        </is>
      </c>
      <c r="D3" t="n">
        <v>14</v>
      </c>
    </row>
    <row r="4">
      <c r="A4" t="inlineStr">
        <is>
          <t>Sprint 3</t>
        </is>
      </c>
      <c r="B4" t="inlineStr">
        <is>
          <t>2025-12-01</t>
        </is>
      </c>
      <c r="C4" t="inlineStr">
        <is>
          <t>2025-12-14</t>
        </is>
      </c>
      <c r="D4" t="n">
        <v>14</v>
      </c>
    </row>
    <row r="5">
      <c r="A5" t="inlineStr">
        <is>
          <t>Sprint 4</t>
        </is>
      </c>
      <c r="B5" t="inlineStr">
        <is>
          <t>2025-12-15</t>
        </is>
      </c>
      <c r="C5" t="inlineStr">
        <is>
          <t>2025-12-28</t>
        </is>
      </c>
      <c r="D5" t="n">
        <v>14</v>
      </c>
    </row>
    <row r="6">
      <c r="A6" t="inlineStr">
        <is>
          <t>Sprint 5</t>
        </is>
      </c>
      <c r="B6" t="inlineStr">
        <is>
          <t>2025-12-29</t>
        </is>
      </c>
      <c r="C6" t="inlineStr">
        <is>
          <t>2026-01-11</t>
        </is>
      </c>
      <c r="D6" t="n">
        <v>14</v>
      </c>
    </row>
    <row r="7">
      <c r="A7" t="inlineStr">
        <is>
          <t>Sprint 6</t>
        </is>
      </c>
      <c r="B7" t="inlineStr">
        <is>
          <t>2026-01-12</t>
        </is>
      </c>
      <c r="C7" t="inlineStr">
        <is>
          <t>2026-01-25</t>
        </is>
      </c>
      <c r="D7" t="n">
        <v>14</v>
      </c>
    </row>
    <row r="8">
      <c r="A8" t="inlineStr">
        <is>
          <t>Sprint 7</t>
        </is>
      </c>
      <c r="B8" t="inlineStr">
        <is>
          <t>2026-01-26</t>
        </is>
      </c>
      <c r="C8" t="inlineStr">
        <is>
          <t>2026-02-08</t>
        </is>
      </c>
      <c r="D8" t="n">
        <v>14</v>
      </c>
    </row>
    <row r="9">
      <c r="A9" t="inlineStr">
        <is>
          <t>Sprint 8</t>
        </is>
      </c>
      <c r="B9" t="inlineStr">
        <is>
          <t>2026-02-09</t>
        </is>
      </c>
      <c r="C9" t="inlineStr">
        <is>
          <t>2026-02-22</t>
        </is>
      </c>
      <c r="D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0" customWidth="1" min="4" max="4"/>
    <col width="14" customWidth="1" min="5" max="5"/>
    <col width="24" customWidth="1" min="6" max="6"/>
    <col width="12" customWidth="1" min="7" max="7"/>
    <col width="12" customWidth="1" min="8" max="8"/>
    <col width="30" customWidth="1" min="9" max="9"/>
    <col width="24" customWidth="1" min="10" max="10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Level</t>
        </is>
      </c>
      <c r="D1" s="1" t="inlineStr">
        <is>
          <t>ART</t>
        </is>
      </c>
      <c r="E1" s="1" t="inlineStr">
        <is>
          <t>Team</t>
        </is>
      </c>
      <c r="F1" s="1" t="inlineStr">
        <is>
          <t>Unit</t>
        </is>
      </c>
      <c r="G1" s="1" t="inlineStr">
        <is>
          <t>Influence</t>
        </is>
      </c>
      <c r="H1" s="1" t="inlineStr">
        <is>
          <t>Interest</t>
        </is>
      </c>
      <c r="I1" s="1" t="inlineStr">
        <is>
          <t>Engagement Plan</t>
        </is>
      </c>
      <c r="J1" s="1" t="inlineStr">
        <is>
          <t>Contact</t>
        </is>
      </c>
    </row>
    <row r="2">
      <c r="A2" t="inlineStr">
        <is>
          <t>Batman</t>
        </is>
      </c>
      <c r="B2" t="inlineStr">
        <is>
          <t>Product Manager</t>
        </is>
      </c>
      <c r="C2" t="inlineStr">
        <is>
          <t>ART</t>
        </is>
      </c>
      <c r="D2" t="inlineStr">
        <is>
          <t>ART 1</t>
        </is>
      </c>
      <c r="E2" t="inlineStr">
        <is>
          <t>Team Alpha</t>
        </is>
      </c>
      <c r="F2" t="inlineStr">
        <is>
          <t>Justice League Command</t>
        </is>
      </c>
      <c r="G2" t="inlineStr">
        <is>
          <t>High</t>
        </is>
      </c>
      <c r="H2" t="inlineStr">
        <is>
          <t>High</t>
        </is>
      </c>
      <c r="I2" t="inlineStr"/>
      <c r="J2" t="inlineStr"/>
    </row>
    <row r="3">
      <c r="A3" t="inlineStr">
        <is>
          <t>Superman</t>
        </is>
      </c>
      <c r="B3" t="inlineStr">
        <is>
          <t>Release Train Engineer</t>
        </is>
      </c>
      <c r="C3" t="inlineStr">
        <is>
          <t>ART</t>
        </is>
      </c>
      <c r="D3" t="inlineStr">
        <is>
          <t>ART 1</t>
        </is>
      </c>
      <c r="E3" t="inlineStr">
        <is>
          <t>Team Alpha</t>
        </is>
      </c>
      <c r="F3" t="inlineStr">
        <is>
          <t>Justice League Command</t>
        </is>
      </c>
      <c r="G3" t="inlineStr">
        <is>
          <t>Medium</t>
        </is>
      </c>
      <c r="H3" t="inlineStr">
        <is>
          <t>High</t>
        </is>
      </c>
      <c r="I3" t="inlineStr"/>
      <c r="J3" t="inlineStr"/>
    </row>
    <row r="4">
      <c r="A4" t="inlineStr">
        <is>
          <t>Wonder Woman</t>
        </is>
      </c>
      <c r="B4" t="inlineStr">
        <is>
          <t>System Architect</t>
        </is>
      </c>
      <c r="C4" t="inlineStr">
        <is>
          <t>ART</t>
        </is>
      </c>
      <c r="D4" t="inlineStr">
        <is>
          <t>ART 1</t>
        </is>
      </c>
      <c r="E4" t="inlineStr">
        <is>
          <t>Team Alpha</t>
        </is>
      </c>
      <c r="F4" t="inlineStr">
        <is>
          <t>Justice League Command</t>
        </is>
      </c>
      <c r="G4" t="inlineStr">
        <is>
          <t>Medium</t>
        </is>
      </c>
      <c r="H4" t="inlineStr">
        <is>
          <t>High</t>
        </is>
      </c>
      <c r="I4" t="inlineStr"/>
      <c r="J4" t="inlineStr"/>
    </row>
    <row r="5">
      <c r="A5" t="inlineStr">
        <is>
          <t>Iron Man</t>
        </is>
      </c>
      <c r="B5" t="inlineStr">
        <is>
          <t>Scrum Master</t>
        </is>
      </c>
      <c r="C5" t="inlineStr">
        <is>
          <t>ART</t>
        </is>
      </c>
      <c r="D5" t="inlineStr">
        <is>
          <t>ART 1</t>
        </is>
      </c>
      <c r="E5" t="inlineStr">
        <is>
          <t>Team Beta</t>
        </is>
      </c>
      <c r="F5" t="inlineStr">
        <is>
          <t>Avengers Interface</t>
        </is>
      </c>
      <c r="G5" t="inlineStr">
        <is>
          <t>Medium</t>
        </is>
      </c>
      <c r="H5" t="inlineStr">
        <is>
          <t>High</t>
        </is>
      </c>
      <c r="I5" t="inlineStr"/>
      <c r="J5" t="inlineStr"/>
    </row>
    <row r="6">
      <c r="A6" t="inlineStr">
        <is>
          <t>Captain America</t>
        </is>
      </c>
      <c r="B6" t="inlineStr">
        <is>
          <t>Scrum Master</t>
        </is>
      </c>
      <c r="C6" t="inlineStr">
        <is>
          <t>ART</t>
        </is>
      </c>
      <c r="D6" t="inlineStr">
        <is>
          <t>ART 1</t>
        </is>
      </c>
      <c r="E6" t="inlineStr">
        <is>
          <t>Team Beta</t>
        </is>
      </c>
      <c r="F6" t="inlineStr">
        <is>
          <t>Avengers Interface</t>
        </is>
      </c>
      <c r="G6" t="inlineStr">
        <is>
          <t>Medium</t>
        </is>
      </c>
      <c r="H6" t="inlineStr">
        <is>
          <t>High</t>
        </is>
      </c>
      <c r="I6" t="inlineStr"/>
      <c r="J6" t="inlineStr"/>
    </row>
    <row r="7">
      <c r="A7" t="inlineStr">
        <is>
          <t>Professor X</t>
        </is>
      </c>
      <c r="B7" t="inlineStr">
        <is>
          <t>Product Manager</t>
        </is>
      </c>
      <c r="C7" t="inlineStr">
        <is>
          <t>ART</t>
        </is>
      </c>
      <c r="D7" t="inlineStr">
        <is>
          <t>ART 2</t>
        </is>
      </c>
      <c r="E7" t="inlineStr">
        <is>
          <t>Team Alpha</t>
        </is>
      </c>
      <c r="F7" t="inlineStr">
        <is>
          <t>X-Men Flight</t>
        </is>
      </c>
      <c r="G7" t="inlineStr">
        <is>
          <t>High</t>
        </is>
      </c>
      <c r="H7" t="inlineStr">
        <is>
          <t>High</t>
        </is>
      </c>
      <c r="I7" t="inlineStr"/>
      <c r="J7" t="inlineStr"/>
    </row>
    <row r="8">
      <c r="A8" t="inlineStr">
        <is>
          <t>Cyclops</t>
        </is>
      </c>
      <c r="B8" t="inlineStr">
        <is>
          <t>Release Train Engineer</t>
        </is>
      </c>
      <c r="C8" t="inlineStr">
        <is>
          <t>ART</t>
        </is>
      </c>
      <c r="D8" t="inlineStr">
        <is>
          <t>ART 2</t>
        </is>
      </c>
      <c r="E8" t="inlineStr">
        <is>
          <t>Team Alpha</t>
        </is>
      </c>
      <c r="F8" t="inlineStr">
        <is>
          <t>X-Men Flight</t>
        </is>
      </c>
      <c r="G8" t="inlineStr">
        <is>
          <t>Medium</t>
        </is>
      </c>
      <c r="H8" t="inlineStr">
        <is>
          <t>High</t>
        </is>
      </c>
      <c r="I8" t="inlineStr"/>
      <c r="J8" t="inlineStr"/>
    </row>
    <row r="9">
      <c r="A9" t="inlineStr">
        <is>
          <t>Storm</t>
        </is>
      </c>
      <c r="B9" t="inlineStr">
        <is>
          <t>System Architect</t>
        </is>
      </c>
      <c r="C9" t="inlineStr">
        <is>
          <t>ART</t>
        </is>
      </c>
      <c r="D9" t="inlineStr">
        <is>
          <t>ART 2</t>
        </is>
      </c>
      <c r="E9" t="inlineStr">
        <is>
          <t>Team Alpha</t>
        </is>
      </c>
      <c r="F9" t="inlineStr">
        <is>
          <t>X-Men Flight</t>
        </is>
      </c>
      <c r="G9" t="inlineStr">
        <is>
          <t>Medium</t>
        </is>
      </c>
      <c r="H9" t="inlineStr">
        <is>
          <t>High</t>
        </is>
      </c>
      <c r="I9" t="inlineStr"/>
      <c r="J9" t="inlineStr"/>
    </row>
    <row r="10">
      <c r="A10" t="inlineStr">
        <is>
          <t>Reed Richards</t>
        </is>
      </c>
      <c r="B10" t="inlineStr">
        <is>
          <t>Scrum Master</t>
        </is>
      </c>
      <c r="C10" t="inlineStr">
        <is>
          <t>ART</t>
        </is>
      </c>
      <c r="D10" t="inlineStr">
        <is>
          <t>ART 2</t>
        </is>
      </c>
      <c r="E10" t="inlineStr">
        <is>
          <t>Team Beta</t>
        </is>
      </c>
      <c r="F10" t="inlineStr">
        <is>
          <t>Fantastic Four Navigation</t>
        </is>
      </c>
      <c r="G10" t="inlineStr">
        <is>
          <t>Medium</t>
        </is>
      </c>
      <c r="H10" t="inlineStr">
        <is>
          <t>High</t>
        </is>
      </c>
      <c r="I10" t="inlineStr"/>
      <c r="J10" t="inlineStr"/>
    </row>
    <row r="11">
      <c r="A11" t="inlineStr">
        <is>
          <t>Sue Storm</t>
        </is>
      </c>
      <c r="B11" t="inlineStr">
        <is>
          <t>Scrum Master</t>
        </is>
      </c>
      <c r="C11" t="inlineStr">
        <is>
          <t>ART</t>
        </is>
      </c>
      <c r="D11" t="inlineStr">
        <is>
          <t>ART 2</t>
        </is>
      </c>
      <c r="E11" t="inlineStr">
        <is>
          <t>Team Beta</t>
        </is>
      </c>
      <c r="F11" t="inlineStr">
        <is>
          <t>Fantastic Four Navigation</t>
        </is>
      </c>
      <c r="G11" t="inlineStr">
        <is>
          <t>Medium</t>
        </is>
      </c>
      <c r="H11" t="inlineStr">
        <is>
          <t>High</t>
        </is>
      </c>
      <c r="I11" t="inlineStr"/>
      <c r="J11" t="inlineStr"/>
    </row>
    <row r="12">
      <c r="A12" t="inlineStr">
        <is>
          <t>Raven</t>
        </is>
      </c>
      <c r="B12" t="inlineStr">
        <is>
          <t>Product Manager</t>
        </is>
      </c>
      <c r="C12" t="inlineStr">
        <is>
          <t>ART</t>
        </is>
      </c>
      <c r="D12" t="inlineStr">
        <is>
          <t>ART 3</t>
        </is>
      </c>
      <c r="E12" t="inlineStr">
        <is>
          <t>Team Alpha</t>
        </is>
      </c>
      <c r="F12" t="inlineStr">
        <is>
          <t>Teen Titans Communication</t>
        </is>
      </c>
      <c r="G12" t="inlineStr">
        <is>
          <t>High</t>
        </is>
      </c>
      <c r="H12" t="inlineStr">
        <is>
          <t>High</t>
        </is>
      </c>
      <c r="I12" t="inlineStr"/>
      <c r="J12" t="inlineStr"/>
    </row>
    <row r="13">
      <c r="A13" t="inlineStr">
        <is>
          <t>Robin</t>
        </is>
      </c>
      <c r="B13" t="inlineStr">
        <is>
          <t>Release Train Engineer</t>
        </is>
      </c>
      <c r="C13" t="inlineStr">
        <is>
          <t>ART</t>
        </is>
      </c>
      <c r="D13" t="inlineStr">
        <is>
          <t>ART 3</t>
        </is>
      </c>
      <c r="E13" t="inlineStr">
        <is>
          <t>Team Alpha</t>
        </is>
      </c>
      <c r="F13" t="inlineStr">
        <is>
          <t>Teen Titans Communication</t>
        </is>
      </c>
      <c r="G13" t="inlineStr">
        <is>
          <t>Medium</t>
        </is>
      </c>
      <c r="H13" t="inlineStr">
        <is>
          <t>High</t>
        </is>
      </c>
      <c r="I13" t="inlineStr"/>
      <c r="J13" t="inlineStr"/>
    </row>
    <row r="14">
      <c r="A14" t="inlineStr">
        <is>
          <t>Cyborg</t>
        </is>
      </c>
      <c r="B14" t="inlineStr">
        <is>
          <t>System Architect</t>
        </is>
      </c>
      <c r="C14" t="inlineStr">
        <is>
          <t>ART</t>
        </is>
      </c>
      <c r="D14" t="inlineStr">
        <is>
          <t>ART 3</t>
        </is>
      </c>
      <c r="E14" t="inlineStr">
        <is>
          <t>Team Alpha</t>
        </is>
      </c>
      <c r="F14" t="inlineStr">
        <is>
          <t>Teen Titans Communication</t>
        </is>
      </c>
      <c r="G14" t="inlineStr">
        <is>
          <t>Medium</t>
        </is>
      </c>
      <c r="H14" t="inlineStr">
        <is>
          <t>High</t>
        </is>
      </c>
      <c r="I14" t="inlineStr"/>
      <c r="J14" t="inlineStr"/>
    </row>
    <row r="15">
      <c r="A15" t="inlineStr">
        <is>
          <t>Star-Lord</t>
        </is>
      </c>
      <c r="B15" t="inlineStr">
        <is>
          <t>Scrum Master</t>
        </is>
      </c>
      <c r="C15" t="inlineStr">
        <is>
          <t>ART</t>
        </is>
      </c>
      <c r="D15" t="inlineStr">
        <is>
          <t>ART 3</t>
        </is>
      </c>
      <c r="E15" t="inlineStr">
        <is>
          <t>Team Beta</t>
        </is>
      </c>
      <c r="F15" t="inlineStr">
        <is>
          <t>Guardians of the Network</t>
        </is>
      </c>
      <c r="G15" t="inlineStr">
        <is>
          <t>Medium</t>
        </is>
      </c>
      <c r="H15" t="inlineStr">
        <is>
          <t>High</t>
        </is>
      </c>
      <c r="I15" t="inlineStr"/>
      <c r="J15" t="inlineStr"/>
    </row>
    <row r="16">
      <c r="A16" t="inlineStr">
        <is>
          <t>Rocket</t>
        </is>
      </c>
      <c r="B16" t="inlineStr">
        <is>
          <t>Scrum Master</t>
        </is>
      </c>
      <c r="C16" t="inlineStr">
        <is>
          <t>ART</t>
        </is>
      </c>
      <c r="D16" t="inlineStr">
        <is>
          <t>ART 3</t>
        </is>
      </c>
      <c r="E16" t="inlineStr">
        <is>
          <t>Team Beta</t>
        </is>
      </c>
      <c r="F16" t="inlineStr">
        <is>
          <t>Guardians of the Network</t>
        </is>
      </c>
      <c r="G16" t="inlineStr">
        <is>
          <t>Medium</t>
        </is>
      </c>
      <c r="H16" t="inlineStr">
        <is>
          <t>High</t>
        </is>
      </c>
      <c r="I16" t="inlineStr"/>
      <c r="J16" t="inlineStr"/>
    </row>
    <row r="17">
      <c r="A17" t="inlineStr">
        <is>
          <t>Nick Fury</t>
        </is>
      </c>
      <c r="B17" t="inlineStr">
        <is>
          <t>Product Manager</t>
        </is>
      </c>
      <c r="C17" t="inlineStr">
        <is>
          <t>ART</t>
        </is>
      </c>
      <c r="D17" t="inlineStr">
        <is>
          <t>ART 4</t>
        </is>
      </c>
      <c r="E17" t="inlineStr">
        <is>
          <t>Team Alpha</t>
        </is>
      </c>
      <c r="F17" t="inlineStr">
        <is>
          <t>S.H.I.E.L.D. Security</t>
        </is>
      </c>
      <c r="G17" t="inlineStr">
        <is>
          <t>High</t>
        </is>
      </c>
      <c r="H17" t="inlineStr">
        <is>
          <t>High</t>
        </is>
      </c>
      <c r="I17" t="inlineStr"/>
      <c r="J17" t="inlineStr"/>
    </row>
    <row r="18">
      <c r="A18" t="inlineStr">
        <is>
          <t>Black Widow</t>
        </is>
      </c>
      <c r="B18" t="inlineStr">
        <is>
          <t>Release Train Engineer</t>
        </is>
      </c>
      <c r="C18" t="inlineStr">
        <is>
          <t>ART</t>
        </is>
      </c>
      <c r="D18" t="inlineStr">
        <is>
          <t>ART 4</t>
        </is>
      </c>
      <c r="E18" t="inlineStr">
        <is>
          <t>Team Alpha</t>
        </is>
      </c>
      <c r="F18" t="inlineStr">
        <is>
          <t>S.H.I.E.L.D. Security</t>
        </is>
      </c>
      <c r="G18" t="inlineStr">
        <is>
          <t>Medium</t>
        </is>
      </c>
      <c r="H18" t="inlineStr">
        <is>
          <t>High</t>
        </is>
      </c>
      <c r="I18" t="inlineStr"/>
      <c r="J18" t="inlineStr"/>
    </row>
    <row r="19">
      <c r="A19" t="inlineStr">
        <is>
          <t>Doctor Strange</t>
        </is>
      </c>
      <c r="B19" t="inlineStr">
        <is>
          <t>System Architect</t>
        </is>
      </c>
      <c r="C19" t="inlineStr">
        <is>
          <t>ART</t>
        </is>
      </c>
      <c r="D19" t="inlineStr">
        <is>
          <t>ART 4</t>
        </is>
      </c>
      <c r="E19" t="inlineStr">
        <is>
          <t>Team Alpha</t>
        </is>
      </c>
      <c r="F19" t="inlineStr">
        <is>
          <t>S.H.I.E.L.D. Security</t>
        </is>
      </c>
      <c r="G19" t="inlineStr">
        <is>
          <t>Medium</t>
        </is>
      </c>
      <c r="H19" t="inlineStr">
        <is>
          <t>High</t>
        </is>
      </c>
      <c r="I19" t="inlineStr"/>
      <c r="J19" t="inlineStr"/>
    </row>
    <row r="20">
      <c r="A20" t="inlineStr">
        <is>
          <t>Rorschach</t>
        </is>
      </c>
      <c r="B20" t="inlineStr">
        <is>
          <t>Scrum Master</t>
        </is>
      </c>
      <c r="C20" t="inlineStr">
        <is>
          <t>ART</t>
        </is>
      </c>
      <c r="D20" t="inlineStr">
        <is>
          <t>ART 4</t>
        </is>
      </c>
      <c r="E20" t="inlineStr">
        <is>
          <t>Team Beta</t>
        </is>
      </c>
      <c r="F20" t="inlineStr">
        <is>
          <t>Watchmen Intrusion</t>
        </is>
      </c>
      <c r="G20" t="inlineStr">
        <is>
          <t>Medium</t>
        </is>
      </c>
      <c r="H20" t="inlineStr">
        <is>
          <t>High</t>
        </is>
      </c>
      <c r="I20" t="inlineStr"/>
      <c r="J20" t="inlineStr"/>
    </row>
    <row r="21">
      <c r="A21" t="inlineStr">
        <is>
          <t>Ozymandias</t>
        </is>
      </c>
      <c r="B21" t="inlineStr">
        <is>
          <t>Scrum Master</t>
        </is>
      </c>
      <c r="C21" t="inlineStr">
        <is>
          <t>ART</t>
        </is>
      </c>
      <c r="D21" t="inlineStr">
        <is>
          <t>ART 4</t>
        </is>
      </c>
      <c r="E21" t="inlineStr">
        <is>
          <t>Team Beta</t>
        </is>
      </c>
      <c r="F21" t="inlineStr">
        <is>
          <t>Watchmen Intrusion</t>
        </is>
      </c>
      <c r="G21" t="inlineStr">
        <is>
          <t>Medium</t>
        </is>
      </c>
      <c r="H21" t="inlineStr">
        <is>
          <t>High</t>
        </is>
      </c>
      <c r="I21" t="inlineStr"/>
      <c r="J21" t="inlineStr"/>
    </row>
    <row r="22">
      <c r="A22" t="inlineStr">
        <is>
          <t>Vision</t>
        </is>
      </c>
      <c r="B22" t="inlineStr">
        <is>
          <t>Product Manager</t>
        </is>
      </c>
      <c r="C22" t="inlineStr">
        <is>
          <t>ART</t>
        </is>
      </c>
      <c r="D22" t="inlineStr">
        <is>
          <t>ART 5</t>
        </is>
      </c>
      <c r="E22" t="inlineStr">
        <is>
          <t>Team Alpha</t>
        </is>
      </c>
      <c r="F22" t="inlineStr">
        <is>
          <t>Avengers Intelligence</t>
        </is>
      </c>
      <c r="G22" t="inlineStr">
        <is>
          <t>High</t>
        </is>
      </c>
      <c r="H22" t="inlineStr">
        <is>
          <t>High</t>
        </is>
      </c>
      <c r="I22" t="inlineStr"/>
      <c r="J22" t="inlineStr"/>
    </row>
    <row r="23">
      <c r="A23" t="inlineStr">
        <is>
          <t>Hawkeye</t>
        </is>
      </c>
      <c r="B23" t="inlineStr">
        <is>
          <t>Release Train Engineer</t>
        </is>
      </c>
      <c r="C23" t="inlineStr">
        <is>
          <t>ART</t>
        </is>
      </c>
      <c r="D23" t="inlineStr">
        <is>
          <t>ART 5</t>
        </is>
      </c>
      <c r="E23" t="inlineStr">
        <is>
          <t>Team Alpha</t>
        </is>
      </c>
      <c r="F23" t="inlineStr">
        <is>
          <t>Avengers Intelligence</t>
        </is>
      </c>
      <c r="G23" t="inlineStr">
        <is>
          <t>Medium</t>
        </is>
      </c>
      <c r="H23" t="inlineStr">
        <is>
          <t>High</t>
        </is>
      </c>
      <c r="I23" t="inlineStr"/>
      <c r="J23" t="inlineStr"/>
    </row>
    <row r="24">
      <c r="A24" t="inlineStr">
        <is>
          <t>Scarlet Witch</t>
        </is>
      </c>
      <c r="B24" t="inlineStr">
        <is>
          <t>System Architect</t>
        </is>
      </c>
      <c r="C24" t="inlineStr">
        <is>
          <t>ART</t>
        </is>
      </c>
      <c r="D24" t="inlineStr">
        <is>
          <t>ART 5</t>
        </is>
      </c>
      <c r="E24" t="inlineStr">
        <is>
          <t>Team Alpha</t>
        </is>
      </c>
      <c r="F24" t="inlineStr">
        <is>
          <t>Avengers Intelligence</t>
        </is>
      </c>
      <c r="G24" t="inlineStr">
        <is>
          <t>Medium</t>
        </is>
      </c>
      <c r="H24" t="inlineStr">
        <is>
          <t>High</t>
        </is>
      </c>
      <c r="I24" t="inlineStr"/>
      <c r="J24" t="inlineStr"/>
    </row>
    <row r="25">
      <c r="A25" t="inlineStr">
        <is>
          <t>Martian Manhunter</t>
        </is>
      </c>
      <c r="B25" t="inlineStr">
        <is>
          <t>Scrum Master</t>
        </is>
      </c>
      <c r="C25" t="inlineStr">
        <is>
          <t>ART</t>
        </is>
      </c>
      <c r="D25" t="inlineStr">
        <is>
          <t>ART 5</t>
        </is>
      </c>
      <c r="E25" t="inlineStr">
        <is>
          <t>Team Beta</t>
        </is>
      </c>
      <c r="F25" t="inlineStr">
        <is>
          <t>Justice League Analytics</t>
        </is>
      </c>
      <c r="G25" t="inlineStr">
        <is>
          <t>Medium</t>
        </is>
      </c>
      <c r="H25" t="inlineStr">
        <is>
          <t>High</t>
        </is>
      </c>
      <c r="I25" t="inlineStr"/>
      <c r="J25" t="inlineStr"/>
    </row>
    <row r="26">
      <c r="A26" t="inlineStr">
        <is>
          <t>Green Lantern</t>
        </is>
      </c>
      <c r="B26" t="inlineStr">
        <is>
          <t>Scrum Master</t>
        </is>
      </c>
      <c r="C26" t="inlineStr">
        <is>
          <t>ART</t>
        </is>
      </c>
      <c r="D26" t="inlineStr">
        <is>
          <t>ART 5</t>
        </is>
      </c>
      <c r="E26" t="inlineStr">
        <is>
          <t>Team Beta</t>
        </is>
      </c>
      <c r="F26" t="inlineStr">
        <is>
          <t>Justice League Analytics</t>
        </is>
      </c>
      <c r="G26" t="inlineStr">
        <is>
          <t>Medium</t>
        </is>
      </c>
      <c r="H26" t="inlineStr">
        <is>
          <t>High</t>
        </is>
      </c>
      <c r="I26" t="inlineStr"/>
      <c r="J26" t="inlineStr"/>
    </row>
    <row r="27">
      <c r="A27" t="inlineStr">
        <is>
          <t>Jean Grey</t>
        </is>
      </c>
      <c r="B27" t="inlineStr">
        <is>
          <t>Product Manager</t>
        </is>
      </c>
      <c r="C27" t="inlineStr">
        <is>
          <t>ART</t>
        </is>
      </c>
      <c r="D27" t="inlineStr">
        <is>
          <t>ART 6</t>
        </is>
      </c>
      <c r="E27" t="inlineStr">
        <is>
          <t>Team Alpha</t>
        </is>
      </c>
      <c r="F27" t="inlineStr">
        <is>
          <t>X-Men Coordination</t>
        </is>
      </c>
      <c r="G27" t="inlineStr">
        <is>
          <t>High</t>
        </is>
      </c>
      <c r="H27" t="inlineStr">
        <is>
          <t>High</t>
        </is>
      </c>
      <c r="I27" t="inlineStr"/>
      <c r="J27" t="inlineStr"/>
    </row>
    <row r="28">
      <c r="A28" t="inlineStr">
        <is>
          <t>Wolverine</t>
        </is>
      </c>
      <c r="B28" t="inlineStr">
        <is>
          <t>Release Train Engineer</t>
        </is>
      </c>
      <c r="C28" t="inlineStr">
        <is>
          <t>ART</t>
        </is>
      </c>
      <c r="D28" t="inlineStr">
        <is>
          <t>ART 6</t>
        </is>
      </c>
      <c r="E28" t="inlineStr">
        <is>
          <t>Team Alpha</t>
        </is>
      </c>
      <c r="F28" t="inlineStr">
        <is>
          <t>X-Men Coordination</t>
        </is>
      </c>
      <c r="G28" t="inlineStr">
        <is>
          <t>Medium</t>
        </is>
      </c>
      <c r="H28" t="inlineStr">
        <is>
          <t>High</t>
        </is>
      </c>
      <c r="I28" t="inlineStr"/>
      <c r="J28" t="inlineStr"/>
    </row>
    <row r="29">
      <c r="A29" t="inlineStr">
        <is>
          <t>Magneto</t>
        </is>
      </c>
      <c r="B29" t="inlineStr">
        <is>
          <t>System Architect</t>
        </is>
      </c>
      <c r="C29" t="inlineStr">
        <is>
          <t>ART</t>
        </is>
      </c>
      <c r="D29" t="inlineStr">
        <is>
          <t>ART 6</t>
        </is>
      </c>
      <c r="E29" t="inlineStr">
        <is>
          <t>Team Alpha</t>
        </is>
      </c>
      <c r="F29" t="inlineStr">
        <is>
          <t>X-Men Coordination</t>
        </is>
      </c>
      <c r="G29" t="inlineStr">
        <is>
          <t>Medium</t>
        </is>
      </c>
      <c r="H29" t="inlineStr">
        <is>
          <t>High</t>
        </is>
      </c>
      <c r="I29" t="inlineStr"/>
      <c r="J29" t="inlineStr"/>
    </row>
    <row r="30">
      <c r="A30" t="inlineStr">
        <is>
          <t>Reed Richards</t>
        </is>
      </c>
      <c r="B30" t="inlineStr">
        <is>
          <t>Scrum Master</t>
        </is>
      </c>
      <c r="C30" t="inlineStr">
        <is>
          <t>ART</t>
        </is>
      </c>
      <c r="D30" t="inlineStr">
        <is>
          <t>ART 6</t>
        </is>
      </c>
      <c r="E30" t="inlineStr">
        <is>
          <t>Team Beta</t>
        </is>
      </c>
      <c r="F30" t="inlineStr">
        <is>
          <t>Fantastic Four Intelligence</t>
        </is>
      </c>
      <c r="G30" t="inlineStr">
        <is>
          <t>Medium</t>
        </is>
      </c>
      <c r="H30" t="inlineStr">
        <is>
          <t>High</t>
        </is>
      </c>
      <c r="I30" t="inlineStr"/>
      <c r="J30" t="inlineStr"/>
    </row>
    <row r="31">
      <c r="A31" t="inlineStr">
        <is>
          <t>Thing</t>
        </is>
      </c>
      <c r="B31" t="inlineStr">
        <is>
          <t>Scrum Master</t>
        </is>
      </c>
      <c r="C31" t="inlineStr">
        <is>
          <t>ART</t>
        </is>
      </c>
      <c r="D31" t="inlineStr">
        <is>
          <t>ART 6</t>
        </is>
      </c>
      <c r="E31" t="inlineStr">
        <is>
          <t>Team Beta</t>
        </is>
      </c>
      <c r="F31" t="inlineStr">
        <is>
          <t>Fantastic Four Intelligence</t>
        </is>
      </c>
      <c r="G31" t="inlineStr">
        <is>
          <t>Medium</t>
        </is>
      </c>
      <c r="H31" t="inlineStr">
        <is>
          <t>High</t>
        </is>
      </c>
      <c r="I31" t="inlineStr"/>
      <c r="J31" t="inlineStr"/>
    </row>
    <row r="32">
      <c r="A32" t="inlineStr">
        <is>
          <t>Thor</t>
        </is>
      </c>
      <c r="B32" t="inlineStr">
        <is>
          <t>Product Manager</t>
        </is>
      </c>
      <c r="C32" t="inlineStr">
        <is>
          <t>ART</t>
        </is>
      </c>
      <c r="D32" t="inlineStr">
        <is>
          <t>ART 7</t>
        </is>
      </c>
      <c r="E32" t="inlineStr">
        <is>
          <t>Team Alpha</t>
        </is>
      </c>
      <c r="F32" t="inlineStr">
        <is>
          <t>Avengers Assembly</t>
        </is>
      </c>
      <c r="G32" t="inlineStr">
        <is>
          <t>High</t>
        </is>
      </c>
      <c r="H32" t="inlineStr">
        <is>
          <t>High</t>
        </is>
      </c>
      <c r="I32" t="inlineStr"/>
      <c r="J32" t="inlineStr"/>
    </row>
    <row r="33">
      <c r="A33" t="inlineStr">
        <is>
          <t>Hulk</t>
        </is>
      </c>
      <c r="B33" t="inlineStr">
        <is>
          <t>Release Train Engineer</t>
        </is>
      </c>
      <c r="C33" t="inlineStr">
        <is>
          <t>ART</t>
        </is>
      </c>
      <c r="D33" t="inlineStr">
        <is>
          <t>ART 7</t>
        </is>
      </c>
      <c r="E33" t="inlineStr">
        <is>
          <t>Team Alpha</t>
        </is>
      </c>
      <c r="F33" t="inlineStr">
        <is>
          <t>Avengers Assembly</t>
        </is>
      </c>
      <c r="G33" t="inlineStr">
        <is>
          <t>Medium</t>
        </is>
      </c>
      <c r="H33" t="inlineStr">
        <is>
          <t>High</t>
        </is>
      </c>
      <c r="I33" t="inlineStr"/>
      <c r="J33" t="inlineStr"/>
    </row>
    <row r="34">
      <c r="A34" t="inlineStr">
        <is>
          <t>Ant-Man</t>
        </is>
      </c>
      <c r="B34" t="inlineStr">
        <is>
          <t>System Architect</t>
        </is>
      </c>
      <c r="C34" t="inlineStr">
        <is>
          <t>ART</t>
        </is>
      </c>
      <c r="D34" t="inlineStr">
        <is>
          <t>ART 7</t>
        </is>
      </c>
      <c r="E34" t="inlineStr">
        <is>
          <t>Team Alpha</t>
        </is>
      </c>
      <c r="F34" t="inlineStr">
        <is>
          <t>Avengers Assembly</t>
        </is>
      </c>
      <c r="G34" t="inlineStr">
        <is>
          <t>Medium</t>
        </is>
      </c>
      <c r="H34" t="inlineStr">
        <is>
          <t>High</t>
        </is>
      </c>
      <c r="I34" t="inlineStr"/>
      <c r="J34" t="inlineStr"/>
    </row>
    <row r="35">
      <c r="A35" t="inlineStr">
        <is>
          <t>Flash</t>
        </is>
      </c>
      <c r="B35" t="inlineStr">
        <is>
          <t>Scrum Master</t>
        </is>
      </c>
      <c r="C35" t="inlineStr">
        <is>
          <t>ART</t>
        </is>
      </c>
      <c r="D35" t="inlineStr">
        <is>
          <t>ART 7</t>
        </is>
      </c>
      <c r="E35" t="inlineStr">
        <is>
          <t>Team Beta</t>
        </is>
      </c>
      <c r="F35" t="inlineStr">
        <is>
          <t>Justice League Validation</t>
        </is>
      </c>
      <c r="G35" t="inlineStr">
        <is>
          <t>Medium</t>
        </is>
      </c>
      <c r="H35" t="inlineStr">
        <is>
          <t>High</t>
        </is>
      </c>
      <c r="I35" t="inlineStr"/>
      <c r="J35" t="inlineStr"/>
    </row>
    <row r="36">
      <c r="A36" t="inlineStr">
        <is>
          <t>Aquaman</t>
        </is>
      </c>
      <c r="B36" t="inlineStr">
        <is>
          <t>Scrum Master</t>
        </is>
      </c>
      <c r="C36" t="inlineStr">
        <is>
          <t>ART</t>
        </is>
      </c>
      <c r="D36" t="inlineStr">
        <is>
          <t>ART 7</t>
        </is>
      </c>
      <c r="E36" t="inlineStr">
        <is>
          <t>Team Beta</t>
        </is>
      </c>
      <c r="F36" t="inlineStr">
        <is>
          <t>Justice League Validation</t>
        </is>
      </c>
      <c r="G36" t="inlineStr">
        <is>
          <t>Medium</t>
        </is>
      </c>
      <c r="H36" t="inlineStr">
        <is>
          <t>High</t>
        </is>
      </c>
      <c r="I36" t="inlineStr"/>
      <c r="J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6" customWidth="1" min="3" max="3"/>
    <col width="14" customWidth="1" min="4" max="4"/>
    <col width="24" customWidth="1" min="5" max="5"/>
    <col width="26" customWidth="1" min="6" max="6"/>
    <col width="22" customWidth="1" min="7" max="7"/>
    <col width="30" customWidth="1" min="8" max="8"/>
  </cols>
  <sheetData>
    <row r="1">
      <c r="A1" s="1" t="inlineStr">
        <is>
          <t>Level</t>
        </is>
      </c>
      <c r="B1" s="1" t="inlineStr">
        <is>
          <t>ART</t>
        </is>
      </c>
      <c r="C1" s="1" t="inlineStr">
        <is>
          <t>ART Name</t>
        </is>
      </c>
      <c r="D1" s="1" t="inlineStr">
        <is>
          <t>Team</t>
        </is>
      </c>
      <c r="E1" s="1" t="inlineStr">
        <is>
          <t>Unit</t>
        </is>
      </c>
      <c r="F1" s="1" t="inlineStr">
        <is>
          <t>Role</t>
        </is>
      </c>
      <c r="G1" s="1" t="inlineStr">
        <is>
          <t>Name</t>
        </is>
      </c>
      <c r="H1" s="1" t="inlineStr">
        <is>
          <t>Notes</t>
        </is>
      </c>
    </row>
    <row r="2">
      <c r="A2" t="inlineStr">
        <is>
          <t>ART</t>
        </is>
      </c>
      <c r="B2" t="inlineStr">
        <is>
          <t>ART 1</t>
        </is>
      </c>
      <c r="C2" t="inlineStr">
        <is>
          <t>Ground Control Station</t>
        </is>
      </c>
      <c r="D2" t="inlineStr">
        <is>
          <t>Team Alpha</t>
        </is>
      </c>
      <c r="E2" t="inlineStr">
        <is>
          <t>Justice League Command</t>
        </is>
      </c>
      <c r="F2" t="inlineStr">
        <is>
          <t>Product Manager</t>
        </is>
      </c>
      <c r="G2" t="inlineStr">
        <is>
          <t>Batman</t>
        </is>
      </c>
      <c r="H2" t="inlineStr"/>
    </row>
    <row r="3">
      <c r="A3" t="inlineStr">
        <is>
          <t>ART</t>
        </is>
      </c>
      <c r="B3" t="inlineStr">
        <is>
          <t>ART 1</t>
        </is>
      </c>
      <c r="C3" t="inlineStr">
        <is>
          <t>Ground Control Station</t>
        </is>
      </c>
      <c r="D3" t="inlineStr">
        <is>
          <t>Team Alpha</t>
        </is>
      </c>
      <c r="E3" t="inlineStr">
        <is>
          <t>Justice League Command</t>
        </is>
      </c>
      <c r="F3" t="inlineStr">
        <is>
          <t>Release Train Engineer</t>
        </is>
      </c>
      <c r="G3" t="inlineStr">
        <is>
          <t>Superman</t>
        </is>
      </c>
      <c r="H3" t="inlineStr"/>
    </row>
    <row r="4">
      <c r="A4" t="inlineStr">
        <is>
          <t>ART</t>
        </is>
      </c>
      <c r="B4" t="inlineStr">
        <is>
          <t>ART 1</t>
        </is>
      </c>
      <c r="C4" t="inlineStr">
        <is>
          <t>Ground Control Station</t>
        </is>
      </c>
      <c r="D4" t="inlineStr">
        <is>
          <t>Team Alpha</t>
        </is>
      </c>
      <c r="E4" t="inlineStr">
        <is>
          <t>Justice League Command</t>
        </is>
      </c>
      <c r="F4" t="inlineStr">
        <is>
          <t>System Architect</t>
        </is>
      </c>
      <c r="G4" t="inlineStr">
        <is>
          <t>Wonder Woman</t>
        </is>
      </c>
      <c r="H4" t="inlineStr"/>
    </row>
    <row r="5">
      <c r="A5" t="inlineStr">
        <is>
          <t>ART</t>
        </is>
      </c>
      <c r="B5" t="inlineStr">
        <is>
          <t>ART 1</t>
        </is>
      </c>
      <c r="C5" t="inlineStr">
        <is>
          <t>Ground Control Station</t>
        </is>
      </c>
      <c r="D5" t="inlineStr">
        <is>
          <t>Team Beta</t>
        </is>
      </c>
      <c r="E5" t="inlineStr">
        <is>
          <t>Avengers Interface</t>
        </is>
      </c>
      <c r="F5" t="inlineStr">
        <is>
          <t>Scrum Master</t>
        </is>
      </c>
      <c r="G5" t="inlineStr">
        <is>
          <t>Iron Man</t>
        </is>
      </c>
      <c r="H5" t="inlineStr"/>
    </row>
    <row r="6">
      <c r="A6" t="inlineStr">
        <is>
          <t>ART</t>
        </is>
      </c>
      <c r="B6" t="inlineStr">
        <is>
          <t>ART 1</t>
        </is>
      </c>
      <c r="C6" t="inlineStr">
        <is>
          <t>Ground Control Station</t>
        </is>
      </c>
      <c r="D6" t="inlineStr">
        <is>
          <t>Team Beta</t>
        </is>
      </c>
      <c r="E6" t="inlineStr">
        <is>
          <t>Avengers Interface</t>
        </is>
      </c>
      <c r="F6" t="inlineStr">
        <is>
          <t>Scrum Master</t>
        </is>
      </c>
      <c r="G6" t="inlineStr">
        <is>
          <t>Captain America</t>
        </is>
      </c>
      <c r="H6" t="inlineStr"/>
    </row>
    <row r="7">
      <c r="A7" t="inlineStr">
        <is>
          <t>ART</t>
        </is>
      </c>
      <c r="B7" t="inlineStr">
        <is>
          <t>ART 2</t>
        </is>
      </c>
      <c r="C7" t="inlineStr">
        <is>
          <t>Airborne Systems</t>
        </is>
      </c>
      <c r="D7" t="inlineStr">
        <is>
          <t>Team Alpha</t>
        </is>
      </c>
      <c r="E7" t="inlineStr">
        <is>
          <t>X-Men Flight</t>
        </is>
      </c>
      <c r="F7" t="inlineStr">
        <is>
          <t>Product Manager</t>
        </is>
      </c>
      <c r="G7" t="inlineStr">
        <is>
          <t>Professor X</t>
        </is>
      </c>
      <c r="H7" t="inlineStr"/>
    </row>
    <row r="8">
      <c r="A8" t="inlineStr">
        <is>
          <t>ART</t>
        </is>
      </c>
      <c r="B8" t="inlineStr">
        <is>
          <t>ART 2</t>
        </is>
      </c>
      <c r="C8" t="inlineStr">
        <is>
          <t>Airborne Systems</t>
        </is>
      </c>
      <c r="D8" t="inlineStr">
        <is>
          <t>Team Alpha</t>
        </is>
      </c>
      <c r="E8" t="inlineStr">
        <is>
          <t>X-Men Flight</t>
        </is>
      </c>
      <c r="F8" t="inlineStr">
        <is>
          <t>Release Train Engineer</t>
        </is>
      </c>
      <c r="G8" t="inlineStr">
        <is>
          <t>Cyclops</t>
        </is>
      </c>
      <c r="H8" t="inlineStr"/>
    </row>
    <row r="9">
      <c r="A9" t="inlineStr">
        <is>
          <t>ART</t>
        </is>
      </c>
      <c r="B9" t="inlineStr">
        <is>
          <t>ART 2</t>
        </is>
      </c>
      <c r="C9" t="inlineStr">
        <is>
          <t>Airborne Systems</t>
        </is>
      </c>
      <c r="D9" t="inlineStr">
        <is>
          <t>Team Alpha</t>
        </is>
      </c>
      <c r="E9" t="inlineStr">
        <is>
          <t>X-Men Flight</t>
        </is>
      </c>
      <c r="F9" t="inlineStr">
        <is>
          <t>System Architect</t>
        </is>
      </c>
      <c r="G9" t="inlineStr">
        <is>
          <t>Storm</t>
        </is>
      </c>
      <c r="H9" t="inlineStr"/>
    </row>
    <row r="10">
      <c r="A10" t="inlineStr">
        <is>
          <t>ART</t>
        </is>
      </c>
      <c r="B10" t="inlineStr">
        <is>
          <t>ART 2</t>
        </is>
      </c>
      <c r="C10" t="inlineStr">
        <is>
          <t>Airborne Systems</t>
        </is>
      </c>
      <c r="D10" t="inlineStr">
        <is>
          <t>Team Beta</t>
        </is>
      </c>
      <c r="E10" t="inlineStr">
        <is>
          <t>Fantastic Four Navigation</t>
        </is>
      </c>
      <c r="F10" t="inlineStr">
        <is>
          <t>Scrum Master</t>
        </is>
      </c>
      <c r="G10" t="inlineStr">
        <is>
          <t>Reed Richards</t>
        </is>
      </c>
      <c r="H10" t="inlineStr"/>
    </row>
    <row r="11">
      <c r="A11" t="inlineStr">
        <is>
          <t>ART</t>
        </is>
      </c>
      <c r="B11" t="inlineStr">
        <is>
          <t>ART 2</t>
        </is>
      </c>
      <c r="C11" t="inlineStr">
        <is>
          <t>Airborne Systems</t>
        </is>
      </c>
      <c r="D11" t="inlineStr">
        <is>
          <t>Team Beta</t>
        </is>
      </c>
      <c r="E11" t="inlineStr">
        <is>
          <t>Fantastic Four Navigation</t>
        </is>
      </c>
      <c r="F11" t="inlineStr">
        <is>
          <t>Scrum Master</t>
        </is>
      </c>
      <c r="G11" t="inlineStr">
        <is>
          <t>Sue Storm</t>
        </is>
      </c>
      <c r="H11" t="inlineStr"/>
    </row>
    <row r="12">
      <c r="A12" t="inlineStr">
        <is>
          <t>ART</t>
        </is>
      </c>
      <c r="B12" t="inlineStr">
        <is>
          <t>ART 3</t>
        </is>
      </c>
      <c r="C12" t="inlineStr">
        <is>
          <t>Communication Systems</t>
        </is>
      </c>
      <c r="D12" t="inlineStr">
        <is>
          <t>Team Alpha</t>
        </is>
      </c>
      <c r="E12" t="inlineStr">
        <is>
          <t>Teen Titans Communication</t>
        </is>
      </c>
      <c r="F12" t="inlineStr">
        <is>
          <t>Product Manager</t>
        </is>
      </c>
      <c r="G12" t="inlineStr">
        <is>
          <t>Raven</t>
        </is>
      </c>
      <c r="H12" t="inlineStr"/>
    </row>
    <row r="13">
      <c r="A13" t="inlineStr">
        <is>
          <t>ART</t>
        </is>
      </c>
      <c r="B13" t="inlineStr">
        <is>
          <t>ART 3</t>
        </is>
      </c>
      <c r="C13" t="inlineStr">
        <is>
          <t>Communication Systems</t>
        </is>
      </c>
      <c r="D13" t="inlineStr">
        <is>
          <t>Team Alpha</t>
        </is>
      </c>
      <c r="E13" t="inlineStr">
        <is>
          <t>Teen Titans Communication</t>
        </is>
      </c>
      <c r="F13" t="inlineStr">
        <is>
          <t>Release Train Engineer</t>
        </is>
      </c>
      <c r="G13" t="inlineStr">
        <is>
          <t>Robin</t>
        </is>
      </c>
      <c r="H13" t="inlineStr"/>
    </row>
    <row r="14">
      <c r="A14" t="inlineStr">
        <is>
          <t>ART</t>
        </is>
      </c>
      <c r="B14" t="inlineStr">
        <is>
          <t>ART 3</t>
        </is>
      </c>
      <c r="C14" t="inlineStr">
        <is>
          <t>Communication Systems</t>
        </is>
      </c>
      <c r="D14" t="inlineStr">
        <is>
          <t>Team Alpha</t>
        </is>
      </c>
      <c r="E14" t="inlineStr">
        <is>
          <t>Teen Titans Communication</t>
        </is>
      </c>
      <c r="F14" t="inlineStr">
        <is>
          <t>System Architect</t>
        </is>
      </c>
      <c r="G14" t="inlineStr">
        <is>
          <t>Cyborg</t>
        </is>
      </c>
      <c r="H14" t="inlineStr"/>
    </row>
    <row r="15">
      <c r="A15" t="inlineStr">
        <is>
          <t>ART</t>
        </is>
      </c>
      <c r="B15" t="inlineStr">
        <is>
          <t>ART 3</t>
        </is>
      </c>
      <c r="C15" t="inlineStr">
        <is>
          <t>Communication Systems</t>
        </is>
      </c>
      <c r="D15" t="inlineStr">
        <is>
          <t>Team Beta</t>
        </is>
      </c>
      <c r="E15" t="inlineStr">
        <is>
          <t>Guardians of the Network</t>
        </is>
      </c>
      <c r="F15" t="inlineStr">
        <is>
          <t>Scrum Master</t>
        </is>
      </c>
      <c r="G15" t="inlineStr">
        <is>
          <t>Star-Lord</t>
        </is>
      </c>
      <c r="H15" t="inlineStr"/>
    </row>
    <row r="16">
      <c r="A16" t="inlineStr">
        <is>
          <t>ART</t>
        </is>
      </c>
      <c r="B16" t="inlineStr">
        <is>
          <t>ART 3</t>
        </is>
      </c>
      <c r="C16" t="inlineStr">
        <is>
          <t>Communication Systems</t>
        </is>
      </c>
      <c r="D16" t="inlineStr">
        <is>
          <t>Team Beta</t>
        </is>
      </c>
      <c r="E16" t="inlineStr">
        <is>
          <t>Guardians of the Network</t>
        </is>
      </c>
      <c r="F16" t="inlineStr">
        <is>
          <t>Scrum Master</t>
        </is>
      </c>
      <c r="G16" t="inlineStr">
        <is>
          <t>Rocket</t>
        </is>
      </c>
      <c r="H16" t="inlineStr"/>
    </row>
    <row r="17">
      <c r="A17" t="inlineStr">
        <is>
          <t>ART</t>
        </is>
      </c>
      <c r="B17" t="inlineStr">
        <is>
          <t>ART 4</t>
        </is>
      </c>
      <c r="C17" t="inlineStr">
        <is>
          <t>Security Framework</t>
        </is>
      </c>
      <c r="D17" t="inlineStr">
        <is>
          <t>Team Alpha</t>
        </is>
      </c>
      <c r="E17" t="inlineStr">
        <is>
          <t>S.H.I.E.L.D. Security</t>
        </is>
      </c>
      <c r="F17" t="inlineStr">
        <is>
          <t>Product Manager</t>
        </is>
      </c>
      <c r="G17" t="inlineStr">
        <is>
          <t>Nick Fury</t>
        </is>
      </c>
      <c r="H17" t="inlineStr"/>
    </row>
    <row r="18">
      <c r="A18" t="inlineStr">
        <is>
          <t>ART</t>
        </is>
      </c>
      <c r="B18" t="inlineStr">
        <is>
          <t>ART 4</t>
        </is>
      </c>
      <c r="C18" t="inlineStr">
        <is>
          <t>Security Framework</t>
        </is>
      </c>
      <c r="D18" t="inlineStr">
        <is>
          <t>Team Alpha</t>
        </is>
      </c>
      <c r="E18" t="inlineStr">
        <is>
          <t>S.H.I.E.L.D. Security</t>
        </is>
      </c>
      <c r="F18" t="inlineStr">
        <is>
          <t>Release Train Engineer</t>
        </is>
      </c>
      <c r="G18" t="inlineStr">
        <is>
          <t>Black Widow</t>
        </is>
      </c>
      <c r="H18" t="inlineStr"/>
    </row>
    <row r="19">
      <c r="A19" t="inlineStr">
        <is>
          <t>ART</t>
        </is>
      </c>
      <c r="B19" t="inlineStr">
        <is>
          <t>ART 4</t>
        </is>
      </c>
      <c r="C19" t="inlineStr">
        <is>
          <t>Security Framework</t>
        </is>
      </c>
      <c r="D19" t="inlineStr">
        <is>
          <t>Team Alpha</t>
        </is>
      </c>
      <c r="E19" t="inlineStr">
        <is>
          <t>S.H.I.E.L.D. Security</t>
        </is>
      </c>
      <c r="F19" t="inlineStr">
        <is>
          <t>System Architect</t>
        </is>
      </c>
      <c r="G19" t="inlineStr">
        <is>
          <t>Doctor Strange</t>
        </is>
      </c>
      <c r="H19" t="inlineStr"/>
    </row>
    <row r="20">
      <c r="A20" t="inlineStr">
        <is>
          <t>ART</t>
        </is>
      </c>
      <c r="B20" t="inlineStr">
        <is>
          <t>ART 4</t>
        </is>
      </c>
      <c r="C20" t="inlineStr">
        <is>
          <t>Security Framework</t>
        </is>
      </c>
      <c r="D20" t="inlineStr">
        <is>
          <t>Team Beta</t>
        </is>
      </c>
      <c r="E20" t="inlineStr">
        <is>
          <t>Watchmen Intrusion</t>
        </is>
      </c>
      <c r="F20" t="inlineStr">
        <is>
          <t>Scrum Master</t>
        </is>
      </c>
      <c r="G20" t="inlineStr">
        <is>
          <t>Rorschach</t>
        </is>
      </c>
      <c r="H20" t="inlineStr"/>
    </row>
    <row r="21">
      <c r="A21" t="inlineStr">
        <is>
          <t>ART</t>
        </is>
      </c>
      <c r="B21" t="inlineStr">
        <is>
          <t>ART 4</t>
        </is>
      </c>
      <c r="C21" t="inlineStr">
        <is>
          <t>Security Framework</t>
        </is>
      </c>
      <c r="D21" t="inlineStr">
        <is>
          <t>Team Beta</t>
        </is>
      </c>
      <c r="E21" t="inlineStr">
        <is>
          <t>Watchmen Intrusion</t>
        </is>
      </c>
      <c r="F21" t="inlineStr">
        <is>
          <t>Scrum Master</t>
        </is>
      </c>
      <c r="G21" t="inlineStr">
        <is>
          <t>Ozymandias</t>
        </is>
      </c>
      <c r="H21" t="inlineStr"/>
    </row>
    <row r="22">
      <c r="A22" t="inlineStr">
        <is>
          <t>ART</t>
        </is>
      </c>
      <c r="B22" t="inlineStr">
        <is>
          <t>ART 5</t>
        </is>
      </c>
      <c r="C22" t="inlineStr">
        <is>
          <t>Data &amp; Analytics</t>
        </is>
      </c>
      <c r="D22" t="inlineStr">
        <is>
          <t>Team Alpha</t>
        </is>
      </c>
      <c r="E22" t="inlineStr">
        <is>
          <t>Avengers Intelligence</t>
        </is>
      </c>
      <c r="F22" t="inlineStr">
        <is>
          <t>Product Manager</t>
        </is>
      </c>
      <c r="G22" t="inlineStr">
        <is>
          <t>Vision</t>
        </is>
      </c>
      <c r="H22" t="inlineStr"/>
    </row>
    <row r="23">
      <c r="A23" t="inlineStr">
        <is>
          <t>ART</t>
        </is>
      </c>
      <c r="B23" t="inlineStr">
        <is>
          <t>ART 5</t>
        </is>
      </c>
      <c r="C23" t="inlineStr">
        <is>
          <t>Data &amp; Analytics</t>
        </is>
      </c>
      <c r="D23" t="inlineStr">
        <is>
          <t>Team Alpha</t>
        </is>
      </c>
      <c r="E23" t="inlineStr">
        <is>
          <t>Avengers Intelligence</t>
        </is>
      </c>
      <c r="F23" t="inlineStr">
        <is>
          <t>Release Train Engineer</t>
        </is>
      </c>
      <c r="G23" t="inlineStr">
        <is>
          <t>Hawkeye</t>
        </is>
      </c>
      <c r="H23" t="inlineStr"/>
    </row>
    <row r="24">
      <c r="A24" t="inlineStr">
        <is>
          <t>ART</t>
        </is>
      </c>
      <c r="B24" t="inlineStr">
        <is>
          <t>ART 5</t>
        </is>
      </c>
      <c r="C24" t="inlineStr">
        <is>
          <t>Data &amp; Analytics</t>
        </is>
      </c>
      <c r="D24" t="inlineStr">
        <is>
          <t>Team Alpha</t>
        </is>
      </c>
      <c r="E24" t="inlineStr">
        <is>
          <t>Avengers Intelligence</t>
        </is>
      </c>
      <c r="F24" t="inlineStr">
        <is>
          <t>System Architect</t>
        </is>
      </c>
      <c r="G24" t="inlineStr">
        <is>
          <t>Scarlet Witch</t>
        </is>
      </c>
      <c r="H24" t="inlineStr"/>
    </row>
    <row r="25">
      <c r="A25" t="inlineStr">
        <is>
          <t>ART</t>
        </is>
      </c>
      <c r="B25" t="inlineStr">
        <is>
          <t>ART 5</t>
        </is>
      </c>
      <c r="C25" t="inlineStr">
        <is>
          <t>Data &amp; Analytics</t>
        </is>
      </c>
      <c r="D25" t="inlineStr">
        <is>
          <t>Team Beta</t>
        </is>
      </c>
      <c r="E25" t="inlineStr">
        <is>
          <t>Justice League Analytics</t>
        </is>
      </c>
      <c r="F25" t="inlineStr">
        <is>
          <t>Scrum Master</t>
        </is>
      </c>
      <c r="G25" t="inlineStr">
        <is>
          <t>Martian Manhunter</t>
        </is>
      </c>
      <c r="H25" t="inlineStr"/>
    </row>
    <row r="26">
      <c r="A26" t="inlineStr">
        <is>
          <t>ART</t>
        </is>
      </c>
      <c r="B26" t="inlineStr">
        <is>
          <t>ART 5</t>
        </is>
      </c>
      <c r="C26" t="inlineStr">
        <is>
          <t>Data &amp; Analytics</t>
        </is>
      </c>
      <c r="D26" t="inlineStr">
        <is>
          <t>Team Beta</t>
        </is>
      </c>
      <c r="E26" t="inlineStr">
        <is>
          <t>Justice League Analytics</t>
        </is>
      </c>
      <c r="F26" t="inlineStr">
        <is>
          <t>Scrum Master</t>
        </is>
      </c>
      <c r="G26" t="inlineStr">
        <is>
          <t>Green Lantern</t>
        </is>
      </c>
      <c r="H26" t="inlineStr"/>
    </row>
    <row r="27">
      <c r="A27" t="inlineStr">
        <is>
          <t>ART</t>
        </is>
      </c>
      <c r="B27" t="inlineStr">
        <is>
          <t>ART 6</t>
        </is>
      </c>
      <c r="C27" t="inlineStr">
        <is>
          <t>Swarm Coordination</t>
        </is>
      </c>
      <c r="D27" t="inlineStr">
        <is>
          <t>Team Alpha</t>
        </is>
      </c>
      <c r="E27" t="inlineStr">
        <is>
          <t>X-Men Coordination</t>
        </is>
      </c>
      <c r="F27" t="inlineStr">
        <is>
          <t>Product Manager</t>
        </is>
      </c>
      <c r="G27" t="inlineStr">
        <is>
          <t>Jean Grey</t>
        </is>
      </c>
      <c r="H27" t="inlineStr"/>
    </row>
    <row r="28">
      <c r="A28" t="inlineStr">
        <is>
          <t>ART</t>
        </is>
      </c>
      <c r="B28" t="inlineStr">
        <is>
          <t>ART 6</t>
        </is>
      </c>
      <c r="C28" t="inlineStr">
        <is>
          <t>Swarm Coordination</t>
        </is>
      </c>
      <c r="D28" t="inlineStr">
        <is>
          <t>Team Alpha</t>
        </is>
      </c>
      <c r="E28" t="inlineStr">
        <is>
          <t>X-Men Coordination</t>
        </is>
      </c>
      <c r="F28" t="inlineStr">
        <is>
          <t>Release Train Engineer</t>
        </is>
      </c>
      <c r="G28" t="inlineStr">
        <is>
          <t>Wolverine</t>
        </is>
      </c>
      <c r="H28" t="inlineStr"/>
    </row>
    <row r="29">
      <c r="A29" t="inlineStr">
        <is>
          <t>ART</t>
        </is>
      </c>
      <c r="B29" t="inlineStr">
        <is>
          <t>ART 6</t>
        </is>
      </c>
      <c r="C29" t="inlineStr">
        <is>
          <t>Swarm Coordination</t>
        </is>
      </c>
      <c r="D29" t="inlineStr">
        <is>
          <t>Team Alpha</t>
        </is>
      </c>
      <c r="E29" t="inlineStr">
        <is>
          <t>X-Men Coordination</t>
        </is>
      </c>
      <c r="F29" t="inlineStr">
        <is>
          <t>System Architect</t>
        </is>
      </c>
      <c r="G29" t="inlineStr">
        <is>
          <t>Magneto</t>
        </is>
      </c>
      <c r="H29" t="inlineStr"/>
    </row>
    <row r="30">
      <c r="A30" t="inlineStr">
        <is>
          <t>ART</t>
        </is>
      </c>
      <c r="B30" t="inlineStr">
        <is>
          <t>ART 6</t>
        </is>
      </c>
      <c r="C30" t="inlineStr">
        <is>
          <t>Swarm Coordination</t>
        </is>
      </c>
      <c r="D30" t="inlineStr">
        <is>
          <t>Team Beta</t>
        </is>
      </c>
      <c r="E30" t="inlineStr">
        <is>
          <t>Fantastic Four Intelligence</t>
        </is>
      </c>
      <c r="F30" t="inlineStr">
        <is>
          <t>Scrum Master</t>
        </is>
      </c>
      <c r="G30" t="inlineStr">
        <is>
          <t>Reed Richards</t>
        </is>
      </c>
      <c r="H30" t="inlineStr"/>
    </row>
    <row r="31">
      <c r="A31" t="inlineStr">
        <is>
          <t>ART</t>
        </is>
      </c>
      <c r="B31" t="inlineStr">
        <is>
          <t>ART 6</t>
        </is>
      </c>
      <c r="C31" t="inlineStr">
        <is>
          <t>Swarm Coordination</t>
        </is>
      </c>
      <c r="D31" t="inlineStr">
        <is>
          <t>Team Beta</t>
        </is>
      </c>
      <c r="E31" t="inlineStr">
        <is>
          <t>Fantastic Four Intelligence</t>
        </is>
      </c>
      <c r="F31" t="inlineStr">
        <is>
          <t>Scrum Master</t>
        </is>
      </c>
      <c r="G31" t="inlineStr">
        <is>
          <t>Thing</t>
        </is>
      </c>
      <c r="H31" t="inlineStr"/>
    </row>
    <row r="32">
      <c r="A32" t="inlineStr">
        <is>
          <t>ART</t>
        </is>
      </c>
      <c r="B32" t="inlineStr">
        <is>
          <t>ART 7</t>
        </is>
      </c>
      <c r="C32" t="inlineStr">
        <is>
          <t>Integration &amp; Test</t>
        </is>
      </c>
      <c r="D32" t="inlineStr">
        <is>
          <t>Team Alpha</t>
        </is>
      </c>
      <c r="E32" t="inlineStr">
        <is>
          <t>Avengers Assembly</t>
        </is>
      </c>
      <c r="F32" t="inlineStr">
        <is>
          <t>Product Manager</t>
        </is>
      </c>
      <c r="G32" t="inlineStr">
        <is>
          <t>Thor</t>
        </is>
      </c>
      <c r="H32" t="inlineStr"/>
    </row>
    <row r="33">
      <c r="A33" t="inlineStr">
        <is>
          <t>ART</t>
        </is>
      </c>
      <c r="B33" t="inlineStr">
        <is>
          <t>ART 7</t>
        </is>
      </c>
      <c r="C33" t="inlineStr">
        <is>
          <t>Integration &amp; Test</t>
        </is>
      </c>
      <c r="D33" t="inlineStr">
        <is>
          <t>Team Alpha</t>
        </is>
      </c>
      <c r="E33" t="inlineStr">
        <is>
          <t>Avengers Assembly</t>
        </is>
      </c>
      <c r="F33" t="inlineStr">
        <is>
          <t>Release Train Engineer</t>
        </is>
      </c>
      <c r="G33" t="inlineStr">
        <is>
          <t>Hulk</t>
        </is>
      </c>
      <c r="H33" t="inlineStr"/>
    </row>
    <row r="34">
      <c r="A34" t="inlineStr">
        <is>
          <t>ART</t>
        </is>
      </c>
      <c r="B34" t="inlineStr">
        <is>
          <t>ART 7</t>
        </is>
      </c>
      <c r="C34" t="inlineStr">
        <is>
          <t>Integration &amp; Test</t>
        </is>
      </c>
      <c r="D34" t="inlineStr">
        <is>
          <t>Team Alpha</t>
        </is>
      </c>
      <c r="E34" t="inlineStr">
        <is>
          <t>Avengers Assembly</t>
        </is>
      </c>
      <c r="F34" t="inlineStr">
        <is>
          <t>System Architect</t>
        </is>
      </c>
      <c r="G34" t="inlineStr">
        <is>
          <t>Ant-Man</t>
        </is>
      </c>
      <c r="H34" t="inlineStr"/>
    </row>
    <row r="35">
      <c r="A35" t="inlineStr">
        <is>
          <t>ART</t>
        </is>
      </c>
      <c r="B35" t="inlineStr">
        <is>
          <t>ART 7</t>
        </is>
      </c>
      <c r="C35" t="inlineStr">
        <is>
          <t>Integration &amp; Test</t>
        </is>
      </c>
      <c r="D35" t="inlineStr">
        <is>
          <t>Team Beta</t>
        </is>
      </c>
      <c r="E35" t="inlineStr">
        <is>
          <t>Justice League Validation</t>
        </is>
      </c>
      <c r="F35" t="inlineStr">
        <is>
          <t>Scrum Master</t>
        </is>
      </c>
      <c r="G35" t="inlineStr">
        <is>
          <t>Flash</t>
        </is>
      </c>
      <c r="H35" t="inlineStr"/>
    </row>
    <row r="36">
      <c r="A36" t="inlineStr">
        <is>
          <t>ART</t>
        </is>
      </c>
      <c r="B36" t="inlineStr">
        <is>
          <t>ART 7</t>
        </is>
      </c>
      <c r="C36" t="inlineStr">
        <is>
          <t>Integration &amp; Test</t>
        </is>
      </c>
      <c r="D36" t="inlineStr">
        <is>
          <t>Team Beta</t>
        </is>
      </c>
      <c r="E36" t="inlineStr">
        <is>
          <t>Justice League Validation</t>
        </is>
      </c>
      <c r="F36" t="inlineStr">
        <is>
          <t>Scrum Master</t>
        </is>
      </c>
      <c r="G36" t="inlineStr">
        <is>
          <t>Aquaman</t>
        </is>
      </c>
      <c r="H36" t="inlineStr"/>
    </row>
    <row r="37">
      <c r="A37" t="inlineStr">
        <is>
          <t>ART</t>
        </is>
      </c>
      <c r="B37" t="inlineStr">
        <is>
          <t>ART 1</t>
        </is>
      </c>
      <c r="C37" t="inlineStr">
        <is>
          <t>Ground Control Station</t>
        </is>
      </c>
      <c r="D37" t="inlineStr">
        <is>
          <t>Team Beta</t>
        </is>
      </c>
      <c r="E37" t="inlineStr">
        <is>
          <t>Avengers Interface</t>
        </is>
      </c>
      <c r="F37" t="inlineStr">
        <is>
          <t>Ui/Ux Developer</t>
        </is>
      </c>
      <c r="G37" t="inlineStr">
        <is>
          <t>Clint Barton</t>
        </is>
      </c>
      <c r="H37" t="inlineStr"/>
    </row>
    <row r="38">
      <c r="A38" t="inlineStr">
        <is>
          <t>ART</t>
        </is>
      </c>
      <c r="B38" t="inlineStr">
        <is>
          <t>ART 1</t>
        </is>
      </c>
      <c r="C38" t="inlineStr">
        <is>
          <t>Ground Control Station</t>
        </is>
      </c>
      <c r="D38" t="inlineStr">
        <is>
          <t>Team Beta</t>
        </is>
      </c>
      <c r="E38" t="inlineStr">
        <is>
          <t>Avengers Interface</t>
        </is>
      </c>
      <c r="F38" t="inlineStr">
        <is>
          <t>Ui/Ux Developer</t>
        </is>
      </c>
      <c r="G38" t="inlineStr">
        <is>
          <t>Dane Whitman</t>
        </is>
      </c>
      <c r="H38" t="inlineStr"/>
    </row>
    <row r="39">
      <c r="A39" t="inlineStr">
        <is>
          <t>ART</t>
        </is>
      </c>
      <c r="B39" t="inlineStr">
        <is>
          <t>ART 1</t>
        </is>
      </c>
      <c r="C39" t="inlineStr">
        <is>
          <t>Ground Control Station</t>
        </is>
      </c>
      <c r="D39" t="inlineStr">
        <is>
          <t>Team Beta</t>
        </is>
      </c>
      <c r="E39" t="inlineStr">
        <is>
          <t>Avengers Interface</t>
        </is>
      </c>
      <c r="F39" t="inlineStr">
        <is>
          <t>Mission Planning Specialist</t>
        </is>
      </c>
      <c r="G39" t="inlineStr">
        <is>
          <t>Nebula</t>
        </is>
      </c>
      <c r="H39" t="inlineStr"/>
    </row>
    <row r="40">
      <c r="A40" t="inlineStr">
        <is>
          <t>ART</t>
        </is>
      </c>
      <c r="B40" t="inlineStr">
        <is>
          <t>ART 1</t>
        </is>
      </c>
      <c r="C40" t="inlineStr">
        <is>
          <t>Ground Control Station</t>
        </is>
      </c>
      <c r="D40" t="inlineStr">
        <is>
          <t>Team Beta</t>
        </is>
      </c>
      <c r="E40" t="inlineStr">
        <is>
          <t>Avengers Interface</t>
        </is>
      </c>
      <c r="F40" t="inlineStr">
        <is>
          <t>Mission Planning Specialist</t>
        </is>
      </c>
      <c r="G40" t="inlineStr">
        <is>
          <t>Yelena Belova</t>
        </is>
      </c>
      <c r="H40" t="inlineStr"/>
    </row>
    <row r="41">
      <c r="A41" t="inlineStr">
        <is>
          <t>ART</t>
        </is>
      </c>
      <c r="B41" t="inlineStr">
        <is>
          <t>ART 1</t>
        </is>
      </c>
      <c r="C41" t="inlineStr">
        <is>
          <t>Ground Control Station</t>
        </is>
      </c>
      <c r="D41" t="inlineStr">
        <is>
          <t>Team Beta</t>
        </is>
      </c>
      <c r="E41" t="inlineStr">
        <is>
          <t>Avengers Interface</t>
        </is>
      </c>
      <c r="F41" t="inlineStr">
        <is>
          <t>Real-Time Analytics</t>
        </is>
      </c>
      <c r="G41" t="inlineStr">
        <is>
          <t>Kate Bishop</t>
        </is>
      </c>
      <c r="H41" t="inlineStr"/>
    </row>
    <row r="42">
      <c r="A42" t="inlineStr">
        <is>
          <t>ART</t>
        </is>
      </c>
      <c r="B42" t="inlineStr">
        <is>
          <t>ART 1</t>
        </is>
      </c>
      <c r="C42" t="inlineStr">
        <is>
          <t>Ground Control Station</t>
        </is>
      </c>
      <c r="D42" t="inlineStr">
        <is>
          <t>Team Beta</t>
        </is>
      </c>
      <c r="E42" t="inlineStr">
        <is>
          <t>Avengers Interface</t>
        </is>
      </c>
      <c r="F42" t="inlineStr">
        <is>
          <t>Real-Time Analytics</t>
        </is>
      </c>
      <c r="G42" t="inlineStr">
        <is>
          <t>Peter Parker</t>
        </is>
      </c>
      <c r="H42" t="inlineStr"/>
    </row>
    <row r="43">
      <c r="A43" t="inlineStr">
        <is>
          <t>ART</t>
        </is>
      </c>
      <c r="B43" t="inlineStr">
        <is>
          <t>ART 1</t>
        </is>
      </c>
      <c r="C43" t="inlineStr">
        <is>
          <t>Ground Control Station</t>
        </is>
      </c>
      <c r="D43" t="inlineStr">
        <is>
          <t>Team Beta</t>
        </is>
      </c>
      <c r="E43" t="inlineStr">
        <is>
          <t>Avengers Interface</t>
        </is>
      </c>
      <c r="F43" t="inlineStr">
        <is>
          <t>Monitoring System Developer</t>
        </is>
      </c>
      <c r="G43" t="inlineStr">
        <is>
          <t>Luke Cage</t>
        </is>
      </c>
      <c r="H43" t="inlineStr"/>
    </row>
    <row r="44">
      <c r="A44" t="inlineStr">
        <is>
          <t>ART</t>
        </is>
      </c>
      <c r="B44" t="inlineStr">
        <is>
          <t>ART 1</t>
        </is>
      </c>
      <c r="C44" t="inlineStr">
        <is>
          <t>Ground Control Station</t>
        </is>
      </c>
      <c r="D44" t="inlineStr">
        <is>
          <t>Team Beta</t>
        </is>
      </c>
      <c r="E44" t="inlineStr">
        <is>
          <t>Avengers Interface</t>
        </is>
      </c>
      <c r="F44" t="inlineStr">
        <is>
          <t>Monitoring System Developer</t>
        </is>
      </c>
      <c r="G44" t="inlineStr">
        <is>
          <t>Sam Wilson</t>
        </is>
      </c>
      <c r="H44" t="inlineStr"/>
    </row>
    <row r="45">
      <c r="A45" t="inlineStr">
        <is>
          <t>ART</t>
        </is>
      </c>
      <c r="B45" t="inlineStr">
        <is>
          <t>ART 2</t>
        </is>
      </c>
      <c r="C45" t="inlineStr">
        <is>
          <t>Airborne Systems</t>
        </is>
      </c>
      <c r="D45" t="inlineStr">
        <is>
          <t>Team Beta</t>
        </is>
      </c>
      <c r="E45" t="inlineStr">
        <is>
          <t>Fantastic Four Navigation</t>
        </is>
      </c>
      <c r="F45" t="inlineStr">
        <is>
          <t>Ai/Ml Engineer</t>
        </is>
      </c>
      <c r="G45" t="inlineStr">
        <is>
          <t>Gamora</t>
        </is>
      </c>
      <c r="H45" t="inlineStr"/>
    </row>
    <row r="46">
      <c r="A46" t="inlineStr">
        <is>
          <t>ART</t>
        </is>
      </c>
      <c r="B46" t="inlineStr">
        <is>
          <t>ART 2</t>
        </is>
      </c>
      <c r="C46" t="inlineStr">
        <is>
          <t>Airborne Systems</t>
        </is>
      </c>
      <c r="D46" t="inlineStr">
        <is>
          <t>Team Beta</t>
        </is>
      </c>
      <c r="E46" t="inlineStr">
        <is>
          <t>Fantastic Four Navigation</t>
        </is>
      </c>
      <c r="F46" t="inlineStr">
        <is>
          <t>Ai/Ml Engineer</t>
        </is>
      </c>
      <c r="G46" t="inlineStr">
        <is>
          <t>Monica Rambeau</t>
        </is>
      </c>
      <c r="H46" t="inlineStr"/>
    </row>
    <row r="47">
      <c r="A47" t="inlineStr">
        <is>
          <t>ART</t>
        </is>
      </c>
      <c r="B47" t="inlineStr">
        <is>
          <t>ART 2</t>
        </is>
      </c>
      <c r="C47" t="inlineStr">
        <is>
          <t>Airborne Systems</t>
        </is>
      </c>
      <c r="D47" t="inlineStr">
        <is>
          <t>Team Beta</t>
        </is>
      </c>
      <c r="E47" t="inlineStr">
        <is>
          <t>Fantastic Four Navigation</t>
        </is>
      </c>
      <c r="F47" t="inlineStr">
        <is>
          <t>Computer Vision Specialist</t>
        </is>
      </c>
      <c r="G47" t="inlineStr">
        <is>
          <t>Ben Grimm</t>
        </is>
      </c>
      <c r="H47" t="inlineStr"/>
    </row>
    <row r="48">
      <c r="A48" t="inlineStr">
        <is>
          <t>ART</t>
        </is>
      </c>
      <c r="B48" t="inlineStr">
        <is>
          <t>ART 2</t>
        </is>
      </c>
      <c r="C48" t="inlineStr">
        <is>
          <t>Airborne Systems</t>
        </is>
      </c>
      <c r="D48" t="inlineStr">
        <is>
          <t>Team Beta</t>
        </is>
      </c>
      <c r="E48" t="inlineStr">
        <is>
          <t>Fantastic Four Navigation</t>
        </is>
      </c>
      <c r="F48" t="inlineStr">
        <is>
          <t>Computer Vision Specialist</t>
        </is>
      </c>
      <c r="G48" t="inlineStr">
        <is>
          <t>Maria Hill</t>
        </is>
      </c>
      <c r="H48" t="inlineStr"/>
    </row>
    <row r="49">
      <c r="A49" t="inlineStr">
        <is>
          <t>ART</t>
        </is>
      </c>
      <c r="B49" t="inlineStr">
        <is>
          <t>ART 2</t>
        </is>
      </c>
      <c r="C49" t="inlineStr">
        <is>
          <t>Airborne Systems</t>
        </is>
      </c>
      <c r="D49" t="inlineStr">
        <is>
          <t>Team Beta</t>
        </is>
      </c>
      <c r="E49" t="inlineStr">
        <is>
          <t>Fantastic Four Navigation</t>
        </is>
      </c>
      <c r="F49" t="inlineStr">
        <is>
          <t>Sensor Integration</t>
        </is>
      </c>
      <c r="G49" t="inlineStr">
        <is>
          <t>Matt Murdock</t>
        </is>
      </c>
      <c r="H49" t="inlineStr"/>
    </row>
    <row r="50">
      <c r="A50" t="inlineStr">
        <is>
          <t>ART</t>
        </is>
      </c>
      <c r="B50" t="inlineStr">
        <is>
          <t>ART 2</t>
        </is>
      </c>
      <c r="C50" t="inlineStr">
        <is>
          <t>Airborne Systems</t>
        </is>
      </c>
      <c r="D50" t="inlineStr">
        <is>
          <t>Team Beta</t>
        </is>
      </c>
      <c r="E50" t="inlineStr">
        <is>
          <t>Fantastic Four Navigation</t>
        </is>
      </c>
      <c r="F50" t="inlineStr">
        <is>
          <t>Sensor Integration</t>
        </is>
      </c>
      <c r="G50" t="inlineStr">
        <is>
          <t>Stephen Strange</t>
        </is>
      </c>
      <c r="H50" t="inlineStr"/>
    </row>
    <row r="51">
      <c r="A51" t="inlineStr">
        <is>
          <t>ART</t>
        </is>
      </c>
      <c r="B51" t="inlineStr">
        <is>
          <t>ART 2</t>
        </is>
      </c>
      <c r="C51" t="inlineStr">
        <is>
          <t>Airborne Systems</t>
        </is>
      </c>
      <c r="D51" t="inlineStr">
        <is>
          <t>Team Beta</t>
        </is>
      </c>
      <c r="E51" t="inlineStr">
        <is>
          <t>Fantastic Four Navigation</t>
        </is>
      </c>
      <c r="F51" t="inlineStr">
        <is>
          <t>Stealth Technology Developer</t>
        </is>
      </c>
      <c r="G51" t="inlineStr">
        <is>
          <t>Pepper Potts</t>
        </is>
      </c>
      <c r="H51" t="inlineStr"/>
    </row>
    <row r="52">
      <c r="A52" t="inlineStr">
        <is>
          <t>ART</t>
        </is>
      </c>
      <c r="B52" t="inlineStr">
        <is>
          <t>ART 2</t>
        </is>
      </c>
      <c r="C52" t="inlineStr">
        <is>
          <t>Airborne Systems</t>
        </is>
      </c>
      <c r="D52" t="inlineStr">
        <is>
          <t>Team Beta</t>
        </is>
      </c>
      <c r="E52" t="inlineStr">
        <is>
          <t>Fantastic Four Navigation</t>
        </is>
      </c>
      <c r="F52" t="inlineStr">
        <is>
          <t>Stealth Technology Developer</t>
        </is>
      </c>
      <c r="G52" t="inlineStr">
        <is>
          <t>Carol Danvers</t>
        </is>
      </c>
      <c r="H52" t="inlineStr"/>
    </row>
    <row r="53">
      <c r="A53" t="inlineStr">
        <is>
          <t>ART</t>
        </is>
      </c>
      <c r="B53" t="inlineStr">
        <is>
          <t>ART 3</t>
        </is>
      </c>
      <c r="C53" t="inlineStr">
        <is>
          <t>Communication Systems</t>
        </is>
      </c>
      <c r="D53" t="inlineStr">
        <is>
          <t>Team Beta</t>
        </is>
      </c>
      <c r="E53" t="inlineStr">
        <is>
          <t>Guardians of the Network</t>
        </is>
      </c>
      <c r="F53" t="inlineStr">
        <is>
          <t>Mesh Networking</t>
        </is>
      </c>
      <c r="G53" t="inlineStr">
        <is>
          <t>Jessica Jones</t>
        </is>
      </c>
      <c r="H53" t="inlineStr"/>
    </row>
    <row r="54">
      <c r="A54" t="inlineStr">
        <is>
          <t>ART</t>
        </is>
      </c>
      <c r="B54" t="inlineStr">
        <is>
          <t>ART 3</t>
        </is>
      </c>
      <c r="C54" t="inlineStr">
        <is>
          <t>Communication Systems</t>
        </is>
      </c>
      <c r="D54" t="inlineStr">
        <is>
          <t>Team Beta</t>
        </is>
      </c>
      <c r="E54" t="inlineStr">
        <is>
          <t>Guardians of the Network</t>
        </is>
      </c>
      <c r="F54" t="inlineStr">
        <is>
          <t>Mesh Networking</t>
        </is>
      </c>
      <c r="G54" t="inlineStr">
        <is>
          <t>Quake Johnson</t>
        </is>
      </c>
      <c r="H54" t="inlineStr"/>
    </row>
    <row r="55">
      <c r="A55" t="inlineStr">
        <is>
          <t>ART</t>
        </is>
      </c>
      <c r="B55" t="inlineStr">
        <is>
          <t>ART 3</t>
        </is>
      </c>
      <c r="C55" t="inlineStr">
        <is>
          <t>Communication Systems</t>
        </is>
      </c>
      <c r="D55" t="inlineStr">
        <is>
          <t>Team Beta</t>
        </is>
      </c>
      <c r="E55" t="inlineStr">
        <is>
          <t>Guardians of the Network</t>
        </is>
      </c>
      <c r="F55" t="inlineStr">
        <is>
          <t>P2P Protocol Developer</t>
        </is>
      </c>
      <c r="G55" t="inlineStr">
        <is>
          <t>Bucky Barnes</t>
        </is>
      </c>
      <c r="H55" t="inlineStr"/>
    </row>
    <row r="56">
      <c r="A56" t="inlineStr">
        <is>
          <t>ART</t>
        </is>
      </c>
      <c r="B56" t="inlineStr">
        <is>
          <t>ART 3</t>
        </is>
      </c>
      <c r="C56" t="inlineStr">
        <is>
          <t>Communication Systems</t>
        </is>
      </c>
      <c r="D56" t="inlineStr">
        <is>
          <t>Team Beta</t>
        </is>
      </c>
      <c r="E56" t="inlineStr">
        <is>
          <t>Guardians of the Network</t>
        </is>
      </c>
      <c r="F56" t="inlineStr">
        <is>
          <t>P2P Protocol Developer</t>
        </is>
      </c>
      <c r="G56" t="inlineStr">
        <is>
          <t>Tony Stark</t>
        </is>
      </c>
      <c r="H56" t="inlineStr"/>
    </row>
    <row r="57">
      <c r="A57" t="inlineStr">
        <is>
          <t>ART</t>
        </is>
      </c>
      <c r="B57" t="inlineStr">
        <is>
          <t>ART 3</t>
        </is>
      </c>
      <c r="C57" t="inlineStr">
        <is>
          <t>Communication Systems</t>
        </is>
      </c>
      <c r="D57" t="inlineStr">
        <is>
          <t>Team Beta</t>
        </is>
      </c>
      <c r="E57" t="inlineStr">
        <is>
          <t>Guardians of the Network</t>
        </is>
      </c>
      <c r="F57" t="inlineStr">
        <is>
          <t>Long-Range Communication</t>
        </is>
      </c>
      <c r="G57" t="inlineStr">
        <is>
          <t>Frank Castle</t>
        </is>
      </c>
      <c r="H57" t="inlineStr"/>
    </row>
    <row r="58">
      <c r="A58" t="inlineStr">
        <is>
          <t>ART</t>
        </is>
      </c>
      <c r="B58" t="inlineStr">
        <is>
          <t>ART 3</t>
        </is>
      </c>
      <c r="C58" t="inlineStr">
        <is>
          <t>Communication Systems</t>
        </is>
      </c>
      <c r="D58" t="inlineStr">
        <is>
          <t>Team Beta</t>
        </is>
      </c>
      <c r="E58" t="inlineStr">
        <is>
          <t>Guardians of the Network</t>
        </is>
      </c>
      <c r="F58" t="inlineStr">
        <is>
          <t>Long-Range Communication</t>
        </is>
      </c>
      <c r="G58" t="inlineStr">
        <is>
          <t>T'Challa</t>
        </is>
      </c>
      <c r="H58" t="inlineStr"/>
    </row>
    <row r="59">
      <c r="A59" t="inlineStr">
        <is>
          <t>ART</t>
        </is>
      </c>
      <c r="B59" t="inlineStr">
        <is>
          <t>ART 3</t>
        </is>
      </c>
      <c r="C59" t="inlineStr">
        <is>
          <t>Communication Systems</t>
        </is>
      </c>
      <c r="D59" t="inlineStr">
        <is>
          <t>Team Beta</t>
        </is>
      </c>
      <c r="E59" t="inlineStr">
        <is>
          <t>Guardians of the Network</t>
        </is>
      </c>
      <c r="F59" t="inlineStr">
        <is>
          <t>Satellite Integration Specialist</t>
        </is>
      </c>
      <c r="G59" t="inlineStr">
        <is>
          <t>Steve Rogers</t>
        </is>
      </c>
      <c r="H59" t="inlineStr"/>
    </row>
    <row r="60">
      <c r="A60" t="inlineStr">
        <is>
          <t>ART</t>
        </is>
      </c>
      <c r="B60" t="inlineStr">
        <is>
          <t>ART 3</t>
        </is>
      </c>
      <c r="C60" t="inlineStr">
        <is>
          <t>Communication Systems</t>
        </is>
      </c>
      <c r="D60" t="inlineStr">
        <is>
          <t>Team Beta</t>
        </is>
      </c>
      <c r="E60" t="inlineStr">
        <is>
          <t>Guardians of the Network</t>
        </is>
      </c>
      <c r="F60" t="inlineStr">
        <is>
          <t>Satellite Integration Specialist</t>
        </is>
      </c>
      <c r="G60" t="inlineStr">
        <is>
          <t>Shang-Chi</t>
        </is>
      </c>
      <c r="H60" t="inlineStr"/>
    </row>
    <row r="61">
      <c r="A61" t="inlineStr">
        <is>
          <t>ART</t>
        </is>
      </c>
      <c r="B61" t="inlineStr">
        <is>
          <t>ART 4</t>
        </is>
      </c>
      <c r="C61" t="inlineStr">
        <is>
          <t>Security Framework</t>
        </is>
      </c>
      <c r="D61" t="inlineStr">
        <is>
          <t>Team Beta</t>
        </is>
      </c>
      <c r="E61" t="inlineStr">
        <is>
          <t>Watchmen Intrusion</t>
        </is>
      </c>
      <c r="F61" t="inlineStr">
        <is>
          <t>Ai-Powered Threat Detection</t>
        </is>
      </c>
      <c r="G61" t="inlineStr">
        <is>
          <t>Rene Ramirez</t>
        </is>
      </c>
      <c r="H61" t="inlineStr"/>
    </row>
    <row r="62">
      <c r="A62" t="inlineStr">
        <is>
          <t>ART</t>
        </is>
      </c>
      <c r="B62" t="inlineStr">
        <is>
          <t>ART 4</t>
        </is>
      </c>
      <c r="C62" t="inlineStr">
        <is>
          <t>Security Framework</t>
        </is>
      </c>
      <c r="D62" t="inlineStr">
        <is>
          <t>Team Beta</t>
        </is>
      </c>
      <c r="E62" t="inlineStr">
        <is>
          <t>Watchmen Intrusion</t>
        </is>
      </c>
      <c r="F62" t="inlineStr">
        <is>
          <t>Ai-Powered Threat Detection</t>
        </is>
      </c>
      <c r="G62" t="inlineStr">
        <is>
          <t>Tim Drake</t>
        </is>
      </c>
      <c r="H62" t="inlineStr"/>
    </row>
    <row r="63">
      <c r="A63" t="inlineStr">
        <is>
          <t>ART</t>
        </is>
      </c>
      <c r="B63" t="inlineStr">
        <is>
          <t>ART 4</t>
        </is>
      </c>
      <c r="C63" t="inlineStr">
        <is>
          <t>Security Framework</t>
        </is>
      </c>
      <c r="D63" t="inlineStr">
        <is>
          <t>Team Beta</t>
        </is>
      </c>
      <c r="E63" t="inlineStr">
        <is>
          <t>Watchmen Intrusion</t>
        </is>
      </c>
      <c r="F63" t="inlineStr">
        <is>
          <t>Behavioral Analyst Specialist</t>
        </is>
      </c>
      <c r="G63" t="inlineStr">
        <is>
          <t>Helena Bertinelli</t>
        </is>
      </c>
      <c r="H63" t="inlineStr"/>
    </row>
    <row r="64">
      <c r="A64" t="inlineStr">
        <is>
          <t>ART</t>
        </is>
      </c>
      <c r="B64" t="inlineStr">
        <is>
          <t>ART 4</t>
        </is>
      </c>
      <c r="C64" t="inlineStr">
        <is>
          <t>Security Framework</t>
        </is>
      </c>
      <c r="D64" t="inlineStr">
        <is>
          <t>Team Beta</t>
        </is>
      </c>
      <c r="E64" t="inlineStr">
        <is>
          <t>Watchmen Intrusion</t>
        </is>
      </c>
      <c r="F64" t="inlineStr">
        <is>
          <t>Behavioral Analyst Specialist</t>
        </is>
      </c>
      <c r="G64" t="inlineStr">
        <is>
          <t>Dinah Lance</t>
        </is>
      </c>
      <c r="H64" t="inlineStr"/>
    </row>
    <row r="65">
      <c r="A65" t="inlineStr">
        <is>
          <t>ART</t>
        </is>
      </c>
      <c r="B65" t="inlineStr">
        <is>
          <t>ART 4</t>
        </is>
      </c>
      <c r="C65" t="inlineStr">
        <is>
          <t>Security Framework</t>
        </is>
      </c>
      <c r="D65" t="inlineStr">
        <is>
          <t>Team Beta</t>
        </is>
      </c>
      <c r="E65" t="inlineStr">
        <is>
          <t>Watchmen Intrusion</t>
        </is>
      </c>
      <c r="F65" t="inlineStr">
        <is>
          <t>Incident Response</t>
        </is>
      </c>
      <c r="G65" t="inlineStr">
        <is>
          <t>Stephanie Brown</t>
        </is>
      </c>
      <c r="H65" t="inlineStr"/>
    </row>
    <row r="66">
      <c r="A66" t="inlineStr">
        <is>
          <t>ART</t>
        </is>
      </c>
      <c r="B66" t="inlineStr">
        <is>
          <t>ART 4</t>
        </is>
      </c>
      <c r="C66" t="inlineStr">
        <is>
          <t>Security Framework</t>
        </is>
      </c>
      <c r="D66" t="inlineStr">
        <is>
          <t>Team Beta</t>
        </is>
      </c>
      <c r="E66" t="inlineStr">
        <is>
          <t>Watchmen Intrusion</t>
        </is>
      </c>
      <c r="F66" t="inlineStr">
        <is>
          <t>Incident Response</t>
        </is>
      </c>
      <c r="G66" t="inlineStr">
        <is>
          <t>Kendra Saunders</t>
        </is>
      </c>
      <c r="H66" t="inlineStr"/>
    </row>
    <row r="67">
      <c r="A67" t="inlineStr">
        <is>
          <t>ART</t>
        </is>
      </c>
      <c r="B67" t="inlineStr">
        <is>
          <t>ART 4</t>
        </is>
      </c>
      <c r="C67" t="inlineStr">
        <is>
          <t>Security Framework</t>
        </is>
      </c>
      <c r="D67" t="inlineStr">
        <is>
          <t>Team Beta</t>
        </is>
      </c>
      <c r="E67" t="inlineStr">
        <is>
          <t>Watchmen Intrusion</t>
        </is>
      </c>
      <c r="F67" t="inlineStr">
        <is>
          <t>Threat Mitigation Specialist</t>
        </is>
      </c>
      <c r="G67" t="inlineStr">
        <is>
          <t>Mari McCabe</t>
        </is>
      </c>
      <c r="H67" t="inlineStr"/>
    </row>
    <row r="68">
      <c r="A68" t="inlineStr">
        <is>
          <t>ART</t>
        </is>
      </c>
      <c r="B68" t="inlineStr">
        <is>
          <t>ART 4</t>
        </is>
      </c>
      <c r="C68" t="inlineStr">
        <is>
          <t>Security Framework</t>
        </is>
      </c>
      <c r="D68" t="inlineStr">
        <is>
          <t>Team Beta</t>
        </is>
      </c>
      <c r="E68" t="inlineStr">
        <is>
          <t>Watchmen Intrusion</t>
        </is>
      </c>
      <c r="F68" t="inlineStr">
        <is>
          <t>Threat Mitigation Specialist</t>
        </is>
      </c>
      <c r="G68" t="inlineStr">
        <is>
          <t>Victor Zsasz</t>
        </is>
      </c>
      <c r="H68" t="inlineStr"/>
    </row>
    <row r="69">
      <c r="A69" t="inlineStr">
        <is>
          <t>ART</t>
        </is>
      </c>
      <c r="B69" t="inlineStr">
        <is>
          <t>ART 5</t>
        </is>
      </c>
      <c r="C69" t="inlineStr">
        <is>
          <t>Data &amp; Analytics</t>
        </is>
      </c>
      <c r="D69" t="inlineStr">
        <is>
          <t>Team Beta</t>
        </is>
      </c>
      <c r="E69" t="inlineStr">
        <is>
          <t>Justice League Analytics</t>
        </is>
      </c>
      <c r="F69" t="inlineStr">
        <is>
          <t>Data Pipeline Engineer</t>
        </is>
      </c>
      <c r="G69" t="inlineStr">
        <is>
          <t>Carter Hall</t>
        </is>
      </c>
      <c r="H69" t="inlineStr"/>
    </row>
    <row r="70">
      <c r="A70" t="inlineStr">
        <is>
          <t>ART</t>
        </is>
      </c>
      <c r="B70" t="inlineStr">
        <is>
          <t>ART 5</t>
        </is>
      </c>
      <c r="C70" t="inlineStr">
        <is>
          <t>Data &amp; Analytics</t>
        </is>
      </c>
      <c r="D70" t="inlineStr">
        <is>
          <t>Team Beta</t>
        </is>
      </c>
      <c r="E70" t="inlineStr">
        <is>
          <t>Justice League Analytics</t>
        </is>
      </c>
      <c r="F70" t="inlineStr">
        <is>
          <t>Data Pipeline Engineer</t>
        </is>
      </c>
      <c r="G70" t="inlineStr">
        <is>
          <t>John Stewart</t>
        </is>
      </c>
      <c r="H70" t="inlineStr"/>
    </row>
    <row r="71">
      <c r="A71" t="inlineStr">
        <is>
          <t>ART</t>
        </is>
      </c>
      <c r="B71" t="inlineStr">
        <is>
          <t>ART 5</t>
        </is>
      </c>
      <c r="C71" t="inlineStr">
        <is>
          <t>Data &amp; Analytics</t>
        </is>
      </c>
      <c r="D71" t="inlineStr">
        <is>
          <t>Team Beta</t>
        </is>
      </c>
      <c r="E71" t="inlineStr">
        <is>
          <t>Justice League Analytics</t>
        </is>
      </c>
      <c r="F71" t="inlineStr">
        <is>
          <t>Etl Specialist</t>
        </is>
      </c>
      <c r="G71" t="inlineStr">
        <is>
          <t>Zatanna Zatara</t>
        </is>
      </c>
      <c r="H71" t="inlineStr"/>
    </row>
    <row r="72">
      <c r="A72" t="inlineStr">
        <is>
          <t>ART</t>
        </is>
      </c>
      <c r="B72" t="inlineStr">
        <is>
          <t>ART 5</t>
        </is>
      </c>
      <c r="C72" t="inlineStr">
        <is>
          <t>Data &amp; Analytics</t>
        </is>
      </c>
      <c r="D72" t="inlineStr">
        <is>
          <t>Team Beta</t>
        </is>
      </c>
      <c r="E72" t="inlineStr">
        <is>
          <t>Justice League Analytics</t>
        </is>
      </c>
      <c r="F72" t="inlineStr">
        <is>
          <t>Etl Specialist</t>
        </is>
      </c>
      <c r="G72" t="inlineStr">
        <is>
          <t>Kaldur'ahm</t>
        </is>
      </c>
      <c r="H72" t="inlineStr"/>
    </row>
    <row r="73">
      <c r="A73" t="inlineStr">
        <is>
          <t>ART</t>
        </is>
      </c>
      <c r="B73" t="inlineStr">
        <is>
          <t>ART 5</t>
        </is>
      </c>
      <c r="C73" t="inlineStr">
        <is>
          <t>Data &amp; Analytics</t>
        </is>
      </c>
      <c r="D73" t="inlineStr">
        <is>
          <t>Team Beta</t>
        </is>
      </c>
      <c r="E73" t="inlineStr">
        <is>
          <t>Justice League Analytics</t>
        </is>
      </c>
      <c r="F73" t="inlineStr">
        <is>
          <t>Business Intelligence</t>
        </is>
      </c>
      <c r="G73" t="inlineStr">
        <is>
          <t>Ryan Choi</t>
        </is>
      </c>
      <c r="H73" t="inlineStr"/>
    </row>
    <row r="74">
      <c r="A74" t="inlineStr">
        <is>
          <t>ART</t>
        </is>
      </c>
      <c r="B74" t="inlineStr">
        <is>
          <t>ART 5</t>
        </is>
      </c>
      <c r="C74" t="inlineStr">
        <is>
          <t>Data &amp; Analytics</t>
        </is>
      </c>
      <c r="D74" t="inlineStr">
        <is>
          <t>Team Beta</t>
        </is>
      </c>
      <c r="E74" t="inlineStr">
        <is>
          <t>Justice League Analytics</t>
        </is>
      </c>
      <c r="F74" t="inlineStr">
        <is>
          <t>Business Intelligence</t>
        </is>
      </c>
      <c r="G74" t="inlineStr">
        <is>
          <t>Donna Troy</t>
        </is>
      </c>
      <c r="H74" t="inlineStr"/>
    </row>
    <row r="75">
      <c r="A75" t="inlineStr">
        <is>
          <t>ART</t>
        </is>
      </c>
      <c r="B75" t="inlineStr">
        <is>
          <t>ART 5</t>
        </is>
      </c>
      <c r="C75" t="inlineStr">
        <is>
          <t>Data &amp; Analytics</t>
        </is>
      </c>
      <c r="D75" t="inlineStr">
        <is>
          <t>Team Beta</t>
        </is>
      </c>
      <c r="E75" t="inlineStr">
        <is>
          <t>Justice League Analytics</t>
        </is>
      </c>
      <c r="F75" t="inlineStr">
        <is>
          <t>Data Visualization Specialist</t>
        </is>
      </c>
      <c r="G75" t="inlineStr">
        <is>
          <t>Eobard Thawne</t>
        </is>
      </c>
      <c r="H75" t="inlineStr"/>
    </row>
    <row r="76">
      <c r="A76" t="inlineStr">
        <is>
          <t>ART</t>
        </is>
      </c>
      <c r="B76" t="inlineStr">
        <is>
          <t>ART 5</t>
        </is>
      </c>
      <c r="C76" t="inlineStr">
        <is>
          <t>Data &amp; Analytics</t>
        </is>
      </c>
      <c r="D76" t="inlineStr">
        <is>
          <t>Team Beta</t>
        </is>
      </c>
      <c r="E76" t="inlineStr">
        <is>
          <t>Justice League Analytics</t>
        </is>
      </c>
      <c r="F76" t="inlineStr">
        <is>
          <t>Data Visualization Specialist</t>
        </is>
      </c>
      <c r="G76" t="inlineStr">
        <is>
          <t>Barbara Gordon</t>
        </is>
      </c>
      <c r="H76" t="inlineStr"/>
    </row>
    <row r="77">
      <c r="A77" t="inlineStr">
        <is>
          <t>ART</t>
        </is>
      </c>
      <c r="B77" t="inlineStr">
        <is>
          <t>ART 6</t>
        </is>
      </c>
      <c r="C77" t="inlineStr">
        <is>
          <t>Swarm Coordination</t>
        </is>
      </c>
      <c r="D77" t="inlineStr">
        <is>
          <t>Team Beta</t>
        </is>
      </c>
      <c r="E77" t="inlineStr">
        <is>
          <t>Fantastic Four Intelligence</t>
        </is>
      </c>
      <c r="F77" t="inlineStr">
        <is>
          <t>Machine Learning Engineer</t>
        </is>
      </c>
      <c r="G77" t="inlineStr">
        <is>
          <t>Shuri</t>
        </is>
      </c>
      <c r="H77" t="inlineStr"/>
    </row>
    <row r="78">
      <c r="A78" t="inlineStr">
        <is>
          <t>ART</t>
        </is>
      </c>
      <c r="B78" t="inlineStr">
        <is>
          <t>ART 6</t>
        </is>
      </c>
      <c r="C78" t="inlineStr">
        <is>
          <t>Swarm Coordination</t>
        </is>
      </c>
      <c r="D78" t="inlineStr">
        <is>
          <t>Team Beta</t>
        </is>
      </c>
      <c r="E78" t="inlineStr">
        <is>
          <t>Fantastic Four Intelligence</t>
        </is>
      </c>
      <c r="F78" t="inlineStr">
        <is>
          <t>Machine Learning Engineer</t>
        </is>
      </c>
      <c r="G78" t="inlineStr">
        <is>
          <t>Danny Rand</t>
        </is>
      </c>
      <c r="H78" t="inlineStr"/>
    </row>
    <row r="79">
      <c r="A79" t="inlineStr">
        <is>
          <t>ART</t>
        </is>
      </c>
      <c r="B79" t="inlineStr">
        <is>
          <t>ART 6</t>
        </is>
      </c>
      <c r="C79" t="inlineStr">
        <is>
          <t>Swarm Coordination</t>
        </is>
      </c>
      <c r="D79" t="inlineStr">
        <is>
          <t>Team Beta</t>
        </is>
      </c>
      <c r="E79" t="inlineStr">
        <is>
          <t>Fantastic Four Intelligence</t>
        </is>
      </c>
      <c r="F79" t="inlineStr">
        <is>
          <t>Algorithm Specialist</t>
        </is>
      </c>
      <c r="G79" t="inlineStr">
        <is>
          <t>Johnny Storm</t>
        </is>
      </c>
      <c r="H79" t="inlineStr"/>
    </row>
    <row r="80">
      <c r="A80" t="inlineStr">
        <is>
          <t>ART</t>
        </is>
      </c>
      <c r="B80" t="inlineStr">
        <is>
          <t>ART 6</t>
        </is>
      </c>
      <c r="C80" t="inlineStr">
        <is>
          <t>Swarm Coordination</t>
        </is>
      </c>
      <c r="D80" t="inlineStr">
        <is>
          <t>Team Beta</t>
        </is>
      </c>
      <c r="E80" t="inlineStr">
        <is>
          <t>Fantastic Four Intelligence</t>
        </is>
      </c>
      <c r="F80" t="inlineStr">
        <is>
          <t>Algorithm Specialist</t>
        </is>
      </c>
      <c r="G80" t="inlineStr">
        <is>
          <t>Bruce Banner</t>
        </is>
      </c>
      <c r="H80" t="inlineStr"/>
    </row>
    <row r="81">
      <c r="A81" t="inlineStr">
        <is>
          <t>ART</t>
        </is>
      </c>
      <c r="B81" t="inlineStr">
        <is>
          <t>ART 6</t>
        </is>
      </c>
      <c r="C81" t="inlineStr">
        <is>
          <t>Swarm Coordination</t>
        </is>
      </c>
      <c r="D81" t="inlineStr">
        <is>
          <t>Team Beta</t>
        </is>
      </c>
      <c r="E81" t="inlineStr">
        <is>
          <t>Fantastic Four Intelligence</t>
        </is>
      </c>
      <c r="F81" t="inlineStr">
        <is>
          <t>Swarm Behavior Specialist</t>
        </is>
      </c>
      <c r="G81" t="inlineStr">
        <is>
          <t>Groot</t>
        </is>
      </c>
      <c r="H81" t="inlineStr"/>
    </row>
    <row r="82">
      <c r="A82" t="inlineStr">
        <is>
          <t>ART</t>
        </is>
      </c>
      <c r="B82" t="inlineStr">
        <is>
          <t>ART 6</t>
        </is>
      </c>
      <c r="C82" t="inlineStr">
        <is>
          <t>Swarm Coordination</t>
        </is>
      </c>
      <c r="D82" t="inlineStr">
        <is>
          <t>Team Beta</t>
        </is>
      </c>
      <c r="E82" t="inlineStr">
        <is>
          <t>Fantastic Four Intelligence</t>
        </is>
      </c>
      <c r="F82" t="inlineStr">
        <is>
          <t>Swarm Behavior Specialist</t>
        </is>
      </c>
      <c r="G82" t="inlineStr">
        <is>
          <t>Okoye</t>
        </is>
      </c>
      <c r="H82" t="inlineStr"/>
    </row>
    <row r="83">
      <c r="A83" t="inlineStr">
        <is>
          <t>ART</t>
        </is>
      </c>
      <c r="B83" t="inlineStr">
        <is>
          <t>ART 6</t>
        </is>
      </c>
      <c r="C83" t="inlineStr">
        <is>
          <t>Swarm Coordination</t>
        </is>
      </c>
      <c r="D83" t="inlineStr">
        <is>
          <t>Team Beta</t>
        </is>
      </c>
      <c r="E83" t="inlineStr">
        <is>
          <t>Fantastic Four Intelligence</t>
        </is>
      </c>
      <c r="F83" t="inlineStr">
        <is>
          <t>Formation Control Engineer</t>
        </is>
      </c>
      <c r="G83" t="inlineStr">
        <is>
          <t>Hank Pym</t>
        </is>
      </c>
      <c r="H83" t="inlineStr"/>
    </row>
    <row r="84">
      <c r="A84" t="inlineStr">
        <is>
          <t>ART</t>
        </is>
      </c>
      <c r="B84" t="inlineStr">
        <is>
          <t>ART 6</t>
        </is>
      </c>
      <c r="C84" t="inlineStr">
        <is>
          <t>Swarm Coordination</t>
        </is>
      </c>
      <c r="D84" t="inlineStr">
        <is>
          <t>Team Beta</t>
        </is>
      </c>
      <c r="E84" t="inlineStr">
        <is>
          <t>Fantastic Four Intelligence</t>
        </is>
      </c>
      <c r="F84" t="inlineStr">
        <is>
          <t>Formation Control Engineer</t>
        </is>
      </c>
      <c r="G84" t="inlineStr">
        <is>
          <t>Jennifer Walters</t>
        </is>
      </c>
      <c r="H84" t="inlineStr"/>
    </row>
    <row r="85">
      <c r="A85" t="inlineStr">
        <is>
          <t>ART</t>
        </is>
      </c>
      <c r="B85" t="inlineStr">
        <is>
          <t>ART 7</t>
        </is>
      </c>
      <c r="C85" t="inlineStr">
        <is>
          <t>Integration &amp; Test</t>
        </is>
      </c>
      <c r="D85" t="inlineStr">
        <is>
          <t>Team Beta</t>
        </is>
      </c>
      <c r="E85" t="inlineStr">
        <is>
          <t>Justice League Validation</t>
        </is>
      </c>
      <c r="F85" t="inlineStr">
        <is>
          <t>System Integration Engineer</t>
        </is>
      </c>
      <c r="G85" t="inlineStr">
        <is>
          <t>Rory Regan</t>
        </is>
      </c>
      <c r="H85" t="inlineStr"/>
    </row>
    <row r="86">
      <c r="A86" t="inlineStr">
        <is>
          <t>ART</t>
        </is>
      </c>
      <c r="B86" t="inlineStr">
        <is>
          <t>ART 7</t>
        </is>
      </c>
      <c r="C86" t="inlineStr">
        <is>
          <t>Integration &amp; Test</t>
        </is>
      </c>
      <c r="D86" t="inlineStr">
        <is>
          <t>Team Beta</t>
        </is>
      </c>
      <c r="E86" t="inlineStr">
        <is>
          <t>Justice League Validation</t>
        </is>
      </c>
      <c r="F86" t="inlineStr">
        <is>
          <t>System Integration Engineer</t>
        </is>
      </c>
      <c r="G86" t="inlineStr">
        <is>
          <t>Huntress Wayne</t>
        </is>
      </c>
      <c r="H86" t="inlineStr"/>
    </row>
    <row r="87">
      <c r="A87" t="inlineStr">
        <is>
          <t>ART</t>
        </is>
      </c>
      <c r="B87" t="inlineStr">
        <is>
          <t>ART 7</t>
        </is>
      </c>
      <c r="C87" t="inlineStr">
        <is>
          <t>Integration &amp; Test</t>
        </is>
      </c>
      <c r="D87" t="inlineStr">
        <is>
          <t>Team Beta</t>
        </is>
      </c>
      <c r="E87" t="inlineStr">
        <is>
          <t>Justice League Validation</t>
        </is>
      </c>
      <c r="F87" t="inlineStr">
        <is>
          <t>Interface Testing Specialist</t>
        </is>
      </c>
      <c r="G87" t="inlineStr">
        <is>
          <t>Oliver Queen</t>
        </is>
      </c>
      <c r="H87" t="inlineStr"/>
    </row>
    <row r="88">
      <c r="A88" t="inlineStr">
        <is>
          <t>ART</t>
        </is>
      </c>
      <c r="B88" t="inlineStr">
        <is>
          <t>ART 7</t>
        </is>
      </c>
      <c r="C88" t="inlineStr">
        <is>
          <t>Integration &amp; Test</t>
        </is>
      </c>
      <c r="D88" t="inlineStr">
        <is>
          <t>Team Beta</t>
        </is>
      </c>
      <c r="E88" t="inlineStr">
        <is>
          <t>Justice League Validation</t>
        </is>
      </c>
      <c r="F88" t="inlineStr">
        <is>
          <t>Interface Testing Specialist</t>
        </is>
      </c>
      <c r="G88" t="inlineStr">
        <is>
          <t>Ravager Wilson</t>
        </is>
      </c>
      <c r="H88" t="inlineStr"/>
    </row>
    <row r="89">
      <c r="A89" t="inlineStr">
        <is>
          <t>ART</t>
        </is>
      </c>
      <c r="B89" t="inlineStr">
        <is>
          <t>ART 7</t>
        </is>
      </c>
      <c r="C89" t="inlineStr">
        <is>
          <t>Integration &amp; Test</t>
        </is>
      </c>
      <c r="D89" t="inlineStr">
        <is>
          <t>Team Beta</t>
        </is>
      </c>
      <c r="E89" t="inlineStr">
        <is>
          <t>Justice League Validation</t>
        </is>
      </c>
      <c r="F89" t="inlineStr">
        <is>
          <t>End-To-End Testing</t>
        </is>
      </c>
      <c r="G89" t="inlineStr">
        <is>
          <t>Cassandra Cain</t>
        </is>
      </c>
      <c r="H89" t="inlineStr"/>
    </row>
    <row r="90">
      <c r="A90" t="inlineStr">
        <is>
          <t>ART</t>
        </is>
      </c>
      <c r="B90" t="inlineStr">
        <is>
          <t>ART 7</t>
        </is>
      </c>
      <c r="C90" t="inlineStr">
        <is>
          <t>Integration &amp; Test</t>
        </is>
      </c>
      <c r="D90" t="inlineStr">
        <is>
          <t>Team Beta</t>
        </is>
      </c>
      <c r="E90" t="inlineStr">
        <is>
          <t>Justice League Validation</t>
        </is>
      </c>
      <c r="F90" t="inlineStr">
        <is>
          <t>End-To-End Testing</t>
        </is>
      </c>
      <c r="G90" t="inlineStr">
        <is>
          <t>Kara Zor-El</t>
        </is>
      </c>
      <c r="H90" t="inlineStr"/>
    </row>
    <row r="91">
      <c r="A91" t="inlineStr">
        <is>
          <t>ART</t>
        </is>
      </c>
      <c r="B91" t="inlineStr">
        <is>
          <t>ART 7</t>
        </is>
      </c>
      <c r="C91" t="inlineStr">
        <is>
          <t>Integration &amp; Test</t>
        </is>
      </c>
      <c r="D91" t="inlineStr">
        <is>
          <t>Team Beta</t>
        </is>
      </c>
      <c r="E91" t="inlineStr">
        <is>
          <t>Justice League Validation</t>
        </is>
      </c>
      <c r="F91" t="inlineStr">
        <is>
          <t>Validation Specialist</t>
        </is>
      </c>
      <c r="G91" t="inlineStr">
        <is>
          <t>Wally West</t>
        </is>
      </c>
      <c r="H91" t="inlineStr"/>
    </row>
    <row r="92">
      <c r="A92" t="inlineStr">
        <is>
          <t>ART</t>
        </is>
      </c>
      <c r="B92" t="inlineStr">
        <is>
          <t>ART 7</t>
        </is>
      </c>
      <c r="C92" t="inlineStr">
        <is>
          <t>Integration &amp; Test</t>
        </is>
      </c>
      <c r="D92" t="inlineStr">
        <is>
          <t>Team Beta</t>
        </is>
      </c>
      <c r="E92" t="inlineStr">
        <is>
          <t>Justice League Validation</t>
        </is>
      </c>
      <c r="F92" t="inlineStr">
        <is>
          <t>Validation Specialist</t>
        </is>
      </c>
      <c r="G92" t="inlineStr">
        <is>
          <t>Talia al Ghul</t>
        </is>
      </c>
      <c r="H9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ART</t>
        </is>
      </c>
      <c r="B1" s="1" t="inlineStr">
        <is>
          <t>Team</t>
        </is>
      </c>
      <c r="C1" s="1" t="inlineStr">
        <is>
          <t>Unit</t>
        </is>
      </c>
      <c r="D1" s="1" t="inlineStr">
        <is>
          <t>Role</t>
        </is>
      </c>
      <c r="E1" s="1" t="inlineStr">
        <is>
          <t>Count</t>
        </is>
      </c>
    </row>
    <row r="2">
      <c r="A2" t="inlineStr">
        <is>
          <t>ART 1</t>
        </is>
      </c>
      <c r="B2" t="inlineStr">
        <is>
          <t>Team Alpha</t>
        </is>
      </c>
      <c r="C2" t="inlineStr">
        <is>
          <t>Justice League Command</t>
        </is>
      </c>
      <c r="D2" t="inlineStr">
        <is>
          <t>Product Manager</t>
        </is>
      </c>
      <c r="E2" t="n">
        <v>1</v>
      </c>
    </row>
    <row r="3">
      <c r="A3" t="inlineStr">
        <is>
          <t>ART 1</t>
        </is>
      </c>
      <c r="B3" t="inlineStr">
        <is>
          <t>Team Alpha</t>
        </is>
      </c>
      <c r="C3" t="inlineStr">
        <is>
          <t>Justice League Command</t>
        </is>
      </c>
      <c r="D3" t="inlineStr">
        <is>
          <t>Release Train Engineer</t>
        </is>
      </c>
      <c r="E3" t="n">
        <v>1</v>
      </c>
    </row>
    <row r="4">
      <c r="A4" t="inlineStr">
        <is>
          <t>ART 1</t>
        </is>
      </c>
      <c r="B4" t="inlineStr">
        <is>
          <t>Team Alpha</t>
        </is>
      </c>
      <c r="C4" t="inlineStr">
        <is>
          <t>Justice League Command</t>
        </is>
      </c>
      <c r="D4" t="inlineStr">
        <is>
          <t>System Architect</t>
        </is>
      </c>
      <c r="E4" t="n">
        <v>1</v>
      </c>
    </row>
    <row r="5">
      <c r="A5" t="inlineStr">
        <is>
          <t>ART 1</t>
        </is>
      </c>
      <c r="B5" t="inlineStr">
        <is>
          <t>Team Beta</t>
        </is>
      </c>
      <c r="C5" t="inlineStr">
        <is>
          <t>Avengers Interface</t>
        </is>
      </c>
      <c r="D5" t="inlineStr">
        <is>
          <t>Mission Planning Specialist</t>
        </is>
      </c>
      <c r="E5" t="n">
        <v>2</v>
      </c>
    </row>
    <row r="6">
      <c r="A6" t="inlineStr">
        <is>
          <t>ART 1</t>
        </is>
      </c>
      <c r="B6" t="inlineStr">
        <is>
          <t>Team Beta</t>
        </is>
      </c>
      <c r="C6" t="inlineStr">
        <is>
          <t>Avengers Interface</t>
        </is>
      </c>
      <c r="D6" t="inlineStr">
        <is>
          <t>Monitoring System Developer</t>
        </is>
      </c>
      <c r="E6" t="n">
        <v>2</v>
      </c>
    </row>
    <row r="7">
      <c r="A7" t="inlineStr">
        <is>
          <t>ART 1</t>
        </is>
      </c>
      <c r="B7" t="inlineStr">
        <is>
          <t>Team Beta</t>
        </is>
      </c>
      <c r="C7" t="inlineStr">
        <is>
          <t>Avengers Interface</t>
        </is>
      </c>
      <c r="D7" t="inlineStr">
        <is>
          <t>Real-Time Analytics</t>
        </is>
      </c>
      <c r="E7" t="n">
        <v>2</v>
      </c>
    </row>
    <row r="8">
      <c r="A8" t="inlineStr">
        <is>
          <t>ART 1</t>
        </is>
      </c>
      <c r="B8" t="inlineStr">
        <is>
          <t>Team Beta</t>
        </is>
      </c>
      <c r="C8" t="inlineStr">
        <is>
          <t>Avengers Interface</t>
        </is>
      </c>
      <c r="D8" t="inlineStr">
        <is>
          <t>Scrum Master</t>
        </is>
      </c>
      <c r="E8" t="n">
        <v>2</v>
      </c>
    </row>
    <row r="9">
      <c r="A9" t="inlineStr">
        <is>
          <t>ART 1</t>
        </is>
      </c>
      <c r="B9" t="inlineStr">
        <is>
          <t>Team Beta</t>
        </is>
      </c>
      <c r="C9" t="inlineStr">
        <is>
          <t>Avengers Interface</t>
        </is>
      </c>
      <c r="D9" t="inlineStr">
        <is>
          <t>Ui/Ux Developer</t>
        </is>
      </c>
      <c r="E9" t="n">
        <v>2</v>
      </c>
    </row>
    <row r="10">
      <c r="A10" t="inlineStr">
        <is>
          <t>ART 2</t>
        </is>
      </c>
      <c r="B10" t="inlineStr">
        <is>
          <t>Team Alpha</t>
        </is>
      </c>
      <c r="C10" t="inlineStr">
        <is>
          <t>X-Men Flight</t>
        </is>
      </c>
      <c r="D10" t="inlineStr">
        <is>
          <t>Product Manager</t>
        </is>
      </c>
      <c r="E10" t="n">
        <v>1</v>
      </c>
    </row>
    <row r="11">
      <c r="A11" t="inlineStr">
        <is>
          <t>ART 2</t>
        </is>
      </c>
      <c r="B11" t="inlineStr">
        <is>
          <t>Team Alpha</t>
        </is>
      </c>
      <c r="C11" t="inlineStr">
        <is>
          <t>X-Men Flight</t>
        </is>
      </c>
      <c r="D11" t="inlineStr">
        <is>
          <t>Release Train Engineer</t>
        </is>
      </c>
      <c r="E11" t="n">
        <v>1</v>
      </c>
    </row>
    <row r="12">
      <c r="A12" t="inlineStr">
        <is>
          <t>ART 2</t>
        </is>
      </c>
      <c r="B12" t="inlineStr">
        <is>
          <t>Team Alpha</t>
        </is>
      </c>
      <c r="C12" t="inlineStr">
        <is>
          <t>X-Men Flight</t>
        </is>
      </c>
      <c r="D12" t="inlineStr">
        <is>
          <t>System Architect</t>
        </is>
      </c>
      <c r="E12" t="n">
        <v>1</v>
      </c>
    </row>
    <row r="13">
      <c r="A13" t="inlineStr">
        <is>
          <t>ART 2</t>
        </is>
      </c>
      <c r="B13" t="inlineStr">
        <is>
          <t>Team Beta</t>
        </is>
      </c>
      <c r="C13" t="inlineStr">
        <is>
          <t>Fantastic Four Navigation</t>
        </is>
      </c>
      <c r="D13" t="inlineStr">
        <is>
          <t>Ai/Ml Engineer</t>
        </is>
      </c>
      <c r="E13" t="n">
        <v>2</v>
      </c>
    </row>
    <row r="14">
      <c r="A14" t="inlineStr">
        <is>
          <t>ART 2</t>
        </is>
      </c>
      <c r="B14" t="inlineStr">
        <is>
          <t>Team Beta</t>
        </is>
      </c>
      <c r="C14" t="inlineStr">
        <is>
          <t>Fantastic Four Navigation</t>
        </is>
      </c>
      <c r="D14" t="inlineStr">
        <is>
          <t>Computer Vision Specialist</t>
        </is>
      </c>
      <c r="E14" t="n">
        <v>2</v>
      </c>
    </row>
    <row r="15">
      <c r="A15" t="inlineStr">
        <is>
          <t>ART 2</t>
        </is>
      </c>
      <c r="B15" t="inlineStr">
        <is>
          <t>Team Beta</t>
        </is>
      </c>
      <c r="C15" t="inlineStr">
        <is>
          <t>Fantastic Four Navigation</t>
        </is>
      </c>
      <c r="D15" t="inlineStr">
        <is>
          <t>Scrum Master</t>
        </is>
      </c>
      <c r="E15" t="n">
        <v>2</v>
      </c>
    </row>
    <row r="16">
      <c r="A16" t="inlineStr">
        <is>
          <t>ART 2</t>
        </is>
      </c>
      <c r="B16" t="inlineStr">
        <is>
          <t>Team Beta</t>
        </is>
      </c>
      <c r="C16" t="inlineStr">
        <is>
          <t>Fantastic Four Navigation</t>
        </is>
      </c>
      <c r="D16" t="inlineStr">
        <is>
          <t>Sensor Integration</t>
        </is>
      </c>
      <c r="E16" t="n">
        <v>2</v>
      </c>
    </row>
    <row r="17">
      <c r="A17" t="inlineStr">
        <is>
          <t>ART 2</t>
        </is>
      </c>
      <c r="B17" t="inlineStr">
        <is>
          <t>Team Beta</t>
        </is>
      </c>
      <c r="C17" t="inlineStr">
        <is>
          <t>Fantastic Four Navigation</t>
        </is>
      </c>
      <c r="D17" t="inlineStr">
        <is>
          <t>Stealth Technology Developer</t>
        </is>
      </c>
      <c r="E17" t="n">
        <v>2</v>
      </c>
    </row>
    <row r="18">
      <c r="A18" t="inlineStr">
        <is>
          <t>ART 3</t>
        </is>
      </c>
      <c r="B18" t="inlineStr">
        <is>
          <t>Team Alpha</t>
        </is>
      </c>
      <c r="C18" t="inlineStr">
        <is>
          <t>Teen Titans Communication</t>
        </is>
      </c>
      <c r="D18" t="inlineStr">
        <is>
          <t>Product Manager</t>
        </is>
      </c>
      <c r="E18" t="n">
        <v>1</v>
      </c>
    </row>
    <row r="19">
      <c r="A19" t="inlineStr">
        <is>
          <t>ART 3</t>
        </is>
      </c>
      <c r="B19" t="inlineStr">
        <is>
          <t>Team Alpha</t>
        </is>
      </c>
      <c r="C19" t="inlineStr">
        <is>
          <t>Teen Titans Communication</t>
        </is>
      </c>
      <c r="D19" t="inlineStr">
        <is>
          <t>Release Train Engineer</t>
        </is>
      </c>
      <c r="E19" t="n">
        <v>1</v>
      </c>
    </row>
    <row r="20">
      <c r="A20" t="inlineStr">
        <is>
          <t>ART 3</t>
        </is>
      </c>
      <c r="B20" t="inlineStr">
        <is>
          <t>Team Alpha</t>
        </is>
      </c>
      <c r="C20" t="inlineStr">
        <is>
          <t>Teen Titans Communication</t>
        </is>
      </c>
      <c r="D20" t="inlineStr">
        <is>
          <t>System Architect</t>
        </is>
      </c>
      <c r="E20" t="n">
        <v>1</v>
      </c>
    </row>
    <row r="21">
      <c r="A21" t="inlineStr">
        <is>
          <t>ART 3</t>
        </is>
      </c>
      <c r="B21" t="inlineStr">
        <is>
          <t>Team Beta</t>
        </is>
      </c>
      <c r="C21" t="inlineStr">
        <is>
          <t>Guardians of the Network</t>
        </is>
      </c>
      <c r="D21" t="inlineStr">
        <is>
          <t>Long-Range Communication</t>
        </is>
      </c>
      <c r="E21" t="n">
        <v>2</v>
      </c>
    </row>
    <row r="22">
      <c r="A22" t="inlineStr">
        <is>
          <t>ART 3</t>
        </is>
      </c>
      <c r="B22" t="inlineStr">
        <is>
          <t>Team Beta</t>
        </is>
      </c>
      <c r="C22" t="inlineStr">
        <is>
          <t>Guardians of the Network</t>
        </is>
      </c>
      <c r="D22" t="inlineStr">
        <is>
          <t>Mesh Networking</t>
        </is>
      </c>
      <c r="E22" t="n">
        <v>2</v>
      </c>
    </row>
    <row r="23">
      <c r="A23" t="inlineStr">
        <is>
          <t>ART 3</t>
        </is>
      </c>
      <c r="B23" t="inlineStr">
        <is>
          <t>Team Beta</t>
        </is>
      </c>
      <c r="C23" t="inlineStr">
        <is>
          <t>Guardians of the Network</t>
        </is>
      </c>
      <c r="D23" t="inlineStr">
        <is>
          <t>P2P Protocol Developer</t>
        </is>
      </c>
      <c r="E23" t="n">
        <v>2</v>
      </c>
    </row>
    <row r="24">
      <c r="A24" t="inlineStr">
        <is>
          <t>ART 3</t>
        </is>
      </c>
      <c r="B24" t="inlineStr">
        <is>
          <t>Team Beta</t>
        </is>
      </c>
      <c r="C24" t="inlineStr">
        <is>
          <t>Guardians of the Network</t>
        </is>
      </c>
      <c r="D24" t="inlineStr">
        <is>
          <t>Satellite Integration Specialist</t>
        </is>
      </c>
      <c r="E24" t="n">
        <v>2</v>
      </c>
    </row>
    <row r="25">
      <c r="A25" t="inlineStr">
        <is>
          <t>ART 3</t>
        </is>
      </c>
      <c r="B25" t="inlineStr">
        <is>
          <t>Team Beta</t>
        </is>
      </c>
      <c r="C25" t="inlineStr">
        <is>
          <t>Guardians of the Network</t>
        </is>
      </c>
      <c r="D25" t="inlineStr">
        <is>
          <t>Scrum Master</t>
        </is>
      </c>
      <c r="E25" t="n">
        <v>2</v>
      </c>
    </row>
    <row r="26">
      <c r="A26" t="inlineStr">
        <is>
          <t>ART 4</t>
        </is>
      </c>
      <c r="B26" t="inlineStr">
        <is>
          <t>Team Alpha</t>
        </is>
      </c>
      <c r="C26" t="inlineStr">
        <is>
          <t>S.H.I.E.L.D. Security</t>
        </is>
      </c>
      <c r="D26" t="inlineStr">
        <is>
          <t>Product Manager</t>
        </is>
      </c>
      <c r="E26" t="n">
        <v>1</v>
      </c>
    </row>
    <row r="27">
      <c r="A27" t="inlineStr">
        <is>
          <t>ART 4</t>
        </is>
      </c>
      <c r="B27" t="inlineStr">
        <is>
          <t>Team Alpha</t>
        </is>
      </c>
      <c r="C27" t="inlineStr">
        <is>
          <t>S.H.I.E.L.D. Security</t>
        </is>
      </c>
      <c r="D27" t="inlineStr">
        <is>
          <t>Release Train Engineer</t>
        </is>
      </c>
      <c r="E27" t="n">
        <v>1</v>
      </c>
    </row>
    <row r="28">
      <c r="A28" t="inlineStr">
        <is>
          <t>ART 4</t>
        </is>
      </c>
      <c r="B28" t="inlineStr">
        <is>
          <t>Team Alpha</t>
        </is>
      </c>
      <c r="C28" t="inlineStr">
        <is>
          <t>S.H.I.E.L.D. Security</t>
        </is>
      </c>
      <c r="D28" t="inlineStr">
        <is>
          <t>System Architect</t>
        </is>
      </c>
      <c r="E28" t="n">
        <v>1</v>
      </c>
    </row>
    <row r="29">
      <c r="A29" t="inlineStr">
        <is>
          <t>ART 4</t>
        </is>
      </c>
      <c r="B29" t="inlineStr">
        <is>
          <t>Team Beta</t>
        </is>
      </c>
      <c r="C29" t="inlineStr">
        <is>
          <t>Watchmen Intrusion</t>
        </is>
      </c>
      <c r="D29" t="inlineStr">
        <is>
          <t>Ai-Powered Threat Detection</t>
        </is>
      </c>
      <c r="E29" t="n">
        <v>2</v>
      </c>
    </row>
    <row r="30">
      <c r="A30" t="inlineStr">
        <is>
          <t>ART 4</t>
        </is>
      </c>
      <c r="B30" t="inlineStr">
        <is>
          <t>Team Beta</t>
        </is>
      </c>
      <c r="C30" t="inlineStr">
        <is>
          <t>Watchmen Intrusion</t>
        </is>
      </c>
      <c r="D30" t="inlineStr">
        <is>
          <t>Behavioral Analyst Specialist</t>
        </is>
      </c>
      <c r="E30" t="n">
        <v>2</v>
      </c>
    </row>
    <row r="31">
      <c r="A31" t="inlineStr">
        <is>
          <t>ART 4</t>
        </is>
      </c>
      <c r="B31" t="inlineStr">
        <is>
          <t>Team Beta</t>
        </is>
      </c>
      <c r="C31" t="inlineStr">
        <is>
          <t>Watchmen Intrusion</t>
        </is>
      </c>
      <c r="D31" t="inlineStr">
        <is>
          <t>Incident Response</t>
        </is>
      </c>
      <c r="E31" t="n">
        <v>2</v>
      </c>
    </row>
    <row r="32">
      <c r="A32" t="inlineStr">
        <is>
          <t>ART 4</t>
        </is>
      </c>
      <c r="B32" t="inlineStr">
        <is>
          <t>Team Beta</t>
        </is>
      </c>
      <c r="C32" t="inlineStr">
        <is>
          <t>Watchmen Intrusion</t>
        </is>
      </c>
      <c r="D32" t="inlineStr">
        <is>
          <t>Scrum Master</t>
        </is>
      </c>
      <c r="E32" t="n">
        <v>2</v>
      </c>
    </row>
    <row r="33">
      <c r="A33" t="inlineStr">
        <is>
          <t>ART 4</t>
        </is>
      </c>
      <c r="B33" t="inlineStr">
        <is>
          <t>Team Beta</t>
        </is>
      </c>
      <c r="C33" t="inlineStr">
        <is>
          <t>Watchmen Intrusion</t>
        </is>
      </c>
      <c r="D33" t="inlineStr">
        <is>
          <t>Threat Mitigation Specialist</t>
        </is>
      </c>
      <c r="E33" t="n">
        <v>2</v>
      </c>
    </row>
    <row r="34">
      <c r="A34" t="inlineStr">
        <is>
          <t>ART 5</t>
        </is>
      </c>
      <c r="B34" t="inlineStr">
        <is>
          <t>Team Alpha</t>
        </is>
      </c>
      <c r="C34" t="inlineStr">
        <is>
          <t>Avengers Intelligence</t>
        </is>
      </c>
      <c r="D34" t="inlineStr">
        <is>
          <t>Product Manager</t>
        </is>
      </c>
      <c r="E34" t="n">
        <v>1</v>
      </c>
    </row>
    <row r="35">
      <c r="A35" t="inlineStr">
        <is>
          <t>ART 5</t>
        </is>
      </c>
      <c r="B35" t="inlineStr">
        <is>
          <t>Team Alpha</t>
        </is>
      </c>
      <c r="C35" t="inlineStr">
        <is>
          <t>Avengers Intelligence</t>
        </is>
      </c>
      <c r="D35" t="inlineStr">
        <is>
          <t>Release Train Engineer</t>
        </is>
      </c>
      <c r="E35" t="n">
        <v>1</v>
      </c>
    </row>
    <row r="36">
      <c r="A36" t="inlineStr">
        <is>
          <t>ART 5</t>
        </is>
      </c>
      <c r="B36" t="inlineStr">
        <is>
          <t>Team Alpha</t>
        </is>
      </c>
      <c r="C36" t="inlineStr">
        <is>
          <t>Avengers Intelligence</t>
        </is>
      </c>
      <c r="D36" t="inlineStr">
        <is>
          <t>System Architect</t>
        </is>
      </c>
      <c r="E36" t="n">
        <v>1</v>
      </c>
    </row>
    <row r="37">
      <c r="A37" t="inlineStr">
        <is>
          <t>ART 5</t>
        </is>
      </c>
      <c r="B37" t="inlineStr">
        <is>
          <t>Team Beta</t>
        </is>
      </c>
      <c r="C37" t="inlineStr">
        <is>
          <t>Justice League Analytics</t>
        </is>
      </c>
      <c r="D37" t="inlineStr">
        <is>
          <t>Business Intelligence</t>
        </is>
      </c>
      <c r="E37" t="n">
        <v>2</v>
      </c>
    </row>
    <row r="38">
      <c r="A38" t="inlineStr">
        <is>
          <t>ART 5</t>
        </is>
      </c>
      <c r="B38" t="inlineStr">
        <is>
          <t>Team Beta</t>
        </is>
      </c>
      <c r="C38" t="inlineStr">
        <is>
          <t>Justice League Analytics</t>
        </is>
      </c>
      <c r="D38" t="inlineStr">
        <is>
          <t>Data Pipeline Engineer</t>
        </is>
      </c>
      <c r="E38" t="n">
        <v>2</v>
      </c>
    </row>
    <row r="39">
      <c r="A39" t="inlineStr">
        <is>
          <t>ART 5</t>
        </is>
      </c>
      <c r="B39" t="inlineStr">
        <is>
          <t>Team Beta</t>
        </is>
      </c>
      <c r="C39" t="inlineStr">
        <is>
          <t>Justice League Analytics</t>
        </is>
      </c>
      <c r="D39" t="inlineStr">
        <is>
          <t>Data Visualization Specialist</t>
        </is>
      </c>
      <c r="E39" t="n">
        <v>2</v>
      </c>
    </row>
    <row r="40">
      <c r="A40" t="inlineStr">
        <is>
          <t>ART 5</t>
        </is>
      </c>
      <c r="B40" t="inlineStr">
        <is>
          <t>Team Beta</t>
        </is>
      </c>
      <c r="C40" t="inlineStr">
        <is>
          <t>Justice League Analytics</t>
        </is>
      </c>
      <c r="D40" t="inlineStr">
        <is>
          <t>Etl Specialist</t>
        </is>
      </c>
      <c r="E40" t="n">
        <v>2</v>
      </c>
    </row>
    <row r="41">
      <c r="A41" t="inlineStr">
        <is>
          <t>ART 5</t>
        </is>
      </c>
      <c r="B41" t="inlineStr">
        <is>
          <t>Team Beta</t>
        </is>
      </c>
      <c r="C41" t="inlineStr">
        <is>
          <t>Justice League Analytics</t>
        </is>
      </c>
      <c r="D41" t="inlineStr">
        <is>
          <t>Scrum Master</t>
        </is>
      </c>
      <c r="E41" t="n">
        <v>2</v>
      </c>
    </row>
    <row r="42">
      <c r="A42" t="inlineStr">
        <is>
          <t>ART 6</t>
        </is>
      </c>
      <c r="B42" t="inlineStr">
        <is>
          <t>Team Alpha</t>
        </is>
      </c>
      <c r="C42" t="inlineStr">
        <is>
          <t>X-Men Coordination</t>
        </is>
      </c>
      <c r="D42" t="inlineStr">
        <is>
          <t>Product Manager</t>
        </is>
      </c>
      <c r="E42" t="n">
        <v>1</v>
      </c>
    </row>
    <row r="43">
      <c r="A43" t="inlineStr">
        <is>
          <t>ART 6</t>
        </is>
      </c>
      <c r="B43" t="inlineStr">
        <is>
          <t>Team Alpha</t>
        </is>
      </c>
      <c r="C43" t="inlineStr">
        <is>
          <t>X-Men Coordination</t>
        </is>
      </c>
      <c r="D43" t="inlineStr">
        <is>
          <t>Release Train Engineer</t>
        </is>
      </c>
      <c r="E43" t="n">
        <v>1</v>
      </c>
    </row>
    <row r="44">
      <c r="A44" t="inlineStr">
        <is>
          <t>ART 6</t>
        </is>
      </c>
      <c r="B44" t="inlineStr">
        <is>
          <t>Team Alpha</t>
        </is>
      </c>
      <c r="C44" t="inlineStr">
        <is>
          <t>X-Men Coordination</t>
        </is>
      </c>
      <c r="D44" t="inlineStr">
        <is>
          <t>System Architect</t>
        </is>
      </c>
      <c r="E44" t="n">
        <v>1</v>
      </c>
    </row>
    <row r="45">
      <c r="A45" t="inlineStr">
        <is>
          <t>ART 6</t>
        </is>
      </c>
      <c r="B45" t="inlineStr">
        <is>
          <t>Team Beta</t>
        </is>
      </c>
      <c r="C45" t="inlineStr">
        <is>
          <t>Fantastic Four Intelligence</t>
        </is>
      </c>
      <c r="D45" t="inlineStr">
        <is>
          <t>Algorithm Specialist</t>
        </is>
      </c>
      <c r="E45" t="n">
        <v>2</v>
      </c>
    </row>
    <row r="46">
      <c r="A46" t="inlineStr">
        <is>
          <t>ART 6</t>
        </is>
      </c>
      <c r="B46" t="inlineStr">
        <is>
          <t>Team Beta</t>
        </is>
      </c>
      <c r="C46" t="inlineStr">
        <is>
          <t>Fantastic Four Intelligence</t>
        </is>
      </c>
      <c r="D46" t="inlineStr">
        <is>
          <t>Formation Control Engineer</t>
        </is>
      </c>
      <c r="E46" t="n">
        <v>2</v>
      </c>
    </row>
    <row r="47">
      <c r="A47" t="inlineStr">
        <is>
          <t>ART 6</t>
        </is>
      </c>
      <c r="B47" t="inlineStr">
        <is>
          <t>Team Beta</t>
        </is>
      </c>
      <c r="C47" t="inlineStr">
        <is>
          <t>Fantastic Four Intelligence</t>
        </is>
      </c>
      <c r="D47" t="inlineStr">
        <is>
          <t>Machine Learning Engineer</t>
        </is>
      </c>
      <c r="E47" t="n">
        <v>2</v>
      </c>
    </row>
    <row r="48">
      <c r="A48" t="inlineStr">
        <is>
          <t>ART 6</t>
        </is>
      </c>
      <c r="B48" t="inlineStr">
        <is>
          <t>Team Beta</t>
        </is>
      </c>
      <c r="C48" t="inlineStr">
        <is>
          <t>Fantastic Four Intelligence</t>
        </is>
      </c>
      <c r="D48" t="inlineStr">
        <is>
          <t>Scrum Master</t>
        </is>
      </c>
      <c r="E48" t="n">
        <v>2</v>
      </c>
    </row>
    <row r="49">
      <c r="A49" t="inlineStr">
        <is>
          <t>ART 6</t>
        </is>
      </c>
      <c r="B49" t="inlineStr">
        <is>
          <t>Team Beta</t>
        </is>
      </c>
      <c r="C49" t="inlineStr">
        <is>
          <t>Fantastic Four Intelligence</t>
        </is>
      </c>
      <c r="D49" t="inlineStr">
        <is>
          <t>Swarm Behavior Specialist</t>
        </is>
      </c>
      <c r="E49" t="n">
        <v>2</v>
      </c>
    </row>
    <row r="50">
      <c r="A50" t="inlineStr">
        <is>
          <t>ART 7</t>
        </is>
      </c>
      <c r="B50" t="inlineStr">
        <is>
          <t>Team Alpha</t>
        </is>
      </c>
      <c r="C50" t="inlineStr">
        <is>
          <t>Avengers Assembly</t>
        </is>
      </c>
      <c r="D50" t="inlineStr">
        <is>
          <t>Product Manager</t>
        </is>
      </c>
      <c r="E50" t="n">
        <v>1</v>
      </c>
    </row>
    <row r="51">
      <c r="A51" t="inlineStr">
        <is>
          <t>ART 7</t>
        </is>
      </c>
      <c r="B51" t="inlineStr">
        <is>
          <t>Team Alpha</t>
        </is>
      </c>
      <c r="C51" t="inlineStr">
        <is>
          <t>Avengers Assembly</t>
        </is>
      </c>
      <c r="D51" t="inlineStr">
        <is>
          <t>Release Train Engineer</t>
        </is>
      </c>
      <c r="E51" t="n">
        <v>1</v>
      </c>
    </row>
    <row r="52">
      <c r="A52" t="inlineStr">
        <is>
          <t>ART 7</t>
        </is>
      </c>
      <c r="B52" t="inlineStr">
        <is>
          <t>Team Alpha</t>
        </is>
      </c>
      <c r="C52" t="inlineStr">
        <is>
          <t>Avengers Assembly</t>
        </is>
      </c>
      <c r="D52" t="inlineStr">
        <is>
          <t>System Architect</t>
        </is>
      </c>
      <c r="E52" t="n">
        <v>1</v>
      </c>
    </row>
    <row r="53">
      <c r="A53" t="inlineStr">
        <is>
          <t>ART 7</t>
        </is>
      </c>
      <c r="B53" t="inlineStr">
        <is>
          <t>Team Beta</t>
        </is>
      </c>
      <c r="C53" t="inlineStr">
        <is>
          <t>Justice League Validation</t>
        </is>
      </c>
      <c r="D53" t="inlineStr">
        <is>
          <t>End-To-End Testing</t>
        </is>
      </c>
      <c r="E53" t="n">
        <v>2</v>
      </c>
    </row>
    <row r="54">
      <c r="A54" t="inlineStr">
        <is>
          <t>ART 7</t>
        </is>
      </c>
      <c r="B54" t="inlineStr">
        <is>
          <t>Team Beta</t>
        </is>
      </c>
      <c r="C54" t="inlineStr">
        <is>
          <t>Justice League Validation</t>
        </is>
      </c>
      <c r="D54" t="inlineStr">
        <is>
          <t>Interface Testing Specialist</t>
        </is>
      </c>
      <c r="E54" t="n">
        <v>2</v>
      </c>
    </row>
    <row r="55">
      <c r="A55" t="inlineStr">
        <is>
          <t>ART 7</t>
        </is>
      </c>
      <c r="B55" t="inlineStr">
        <is>
          <t>Team Beta</t>
        </is>
      </c>
      <c r="C55" t="inlineStr">
        <is>
          <t>Justice League Validation</t>
        </is>
      </c>
      <c r="D55" t="inlineStr">
        <is>
          <t>Scrum Master</t>
        </is>
      </c>
      <c r="E55" t="n">
        <v>2</v>
      </c>
    </row>
    <row r="56">
      <c r="A56" t="inlineStr">
        <is>
          <t>ART 7</t>
        </is>
      </c>
      <c r="B56" t="inlineStr">
        <is>
          <t>Team Beta</t>
        </is>
      </c>
      <c r="C56" t="inlineStr">
        <is>
          <t>Justice League Validation</t>
        </is>
      </c>
      <c r="D56" t="inlineStr">
        <is>
          <t>System Integration Engineer</t>
        </is>
      </c>
      <c r="E56" t="n">
        <v>2</v>
      </c>
    </row>
    <row r="57">
      <c r="A57" t="inlineStr">
        <is>
          <t>ART 7</t>
        </is>
      </c>
      <c r="B57" t="inlineStr">
        <is>
          <t>Team Beta</t>
        </is>
      </c>
      <c r="C57" t="inlineStr">
        <is>
          <t>Justice League Validation</t>
        </is>
      </c>
      <c r="D57" t="inlineStr">
        <is>
          <t>Validation Specialist</t>
        </is>
      </c>
      <c r="E5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10" customWidth="1" min="4" max="4"/>
    <col width="22" customWidth="1" min="5" max="5"/>
    <col width="20" customWidth="1" min="6" max="6"/>
    <col width="12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Team</t>
        </is>
      </c>
      <c r="D1" s="1" t="inlineStr">
        <is>
          <t>ART</t>
        </is>
      </c>
      <c r="E1" s="1" t="inlineStr">
        <is>
          <t>Assigned To</t>
        </is>
      </c>
      <c r="F1" s="1" t="inlineStr">
        <is>
          <t>Role</t>
        </is>
      </c>
      <c r="G1" s="1" t="inlineStr">
        <is>
          <t>Sprint</t>
        </is>
      </c>
      <c r="H1" s="1" t="inlineStr">
        <is>
          <t>Estimate (h)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Dependency</t>
        </is>
      </c>
    </row>
    <row r="2">
      <c r="A2" t="inlineStr">
        <is>
          <t>A-001</t>
        </is>
      </c>
      <c r="B2" t="inlineStr">
        <is>
          <t>GCS-Airborne interface contract</t>
        </is>
      </c>
      <c r="C2" t="inlineStr">
        <is>
          <t>Justice League Command</t>
        </is>
      </c>
      <c r="D2" t="inlineStr">
        <is>
          <t>ART 1</t>
        </is>
      </c>
      <c r="E2" t="inlineStr">
        <is>
          <t>Batman</t>
        </is>
      </c>
      <c r="F2" t="inlineStr">
        <is>
          <t>Product Manager</t>
        </is>
      </c>
      <c r="G2" t="inlineStr">
        <is>
          <t>Sprint 1</t>
        </is>
      </c>
      <c r="H2" t="n">
        <v>6</v>
      </c>
      <c r="I2" t="inlineStr">
        <is>
          <t>Planned</t>
        </is>
      </c>
      <c r="J2" t="inlineStr">
        <is>
          <t>High</t>
        </is>
      </c>
      <c r="K2" t="inlineStr">
        <is>
          <t>Professor X</t>
        </is>
      </c>
    </row>
    <row r="3">
      <c r="A3" t="inlineStr">
        <is>
          <t>A-002</t>
        </is>
      </c>
      <c r="B3" t="inlineStr">
        <is>
          <t>Secure comms requirement baseline</t>
        </is>
      </c>
      <c r="C3" t="inlineStr">
        <is>
          <t>Teen Titans Communication</t>
        </is>
      </c>
      <c r="D3" t="inlineStr">
        <is>
          <t>ART 3</t>
        </is>
      </c>
      <c r="E3" t="inlineStr">
        <is>
          <t>Raven</t>
        </is>
      </c>
      <c r="F3" t="inlineStr">
        <is>
          <t>Product Manager</t>
        </is>
      </c>
      <c r="G3" t="inlineStr">
        <is>
          <t>Sprint 2</t>
        </is>
      </c>
      <c r="H3" t="n">
        <v>8</v>
      </c>
      <c r="I3" t="inlineStr">
        <is>
          <t>Planned</t>
        </is>
      </c>
      <c r="J3" t="inlineStr">
        <is>
          <t>High</t>
        </is>
      </c>
      <c r="K3" t="inlineStr">
        <is>
          <t>Nick Fury</t>
        </is>
      </c>
    </row>
    <row r="4">
      <c r="A4" t="inlineStr">
        <is>
          <t>A-003</t>
        </is>
      </c>
      <c r="B4" t="inlineStr">
        <is>
          <t>Swarm/Flight behavior API</t>
        </is>
      </c>
      <c r="C4" t="inlineStr">
        <is>
          <t>X-Men Coordination</t>
        </is>
      </c>
      <c r="D4" t="inlineStr">
        <is>
          <t>ART 6</t>
        </is>
      </c>
      <c r="E4" t="inlineStr">
        <is>
          <t>Jean Grey</t>
        </is>
      </c>
      <c r="F4" t="inlineStr">
        <is>
          <t>Product Manager</t>
        </is>
      </c>
      <c r="G4" t="inlineStr">
        <is>
          <t>Sprint 2</t>
        </is>
      </c>
      <c r="H4" t="n">
        <v>10</v>
      </c>
      <c r="I4" t="inlineStr">
        <is>
          <t>Planned</t>
        </is>
      </c>
      <c r="J4" t="inlineStr">
        <is>
          <t>High</t>
        </is>
      </c>
      <c r="K4" t="inlineStr">
        <is>
          <t>Professor X</t>
        </is>
      </c>
    </row>
    <row r="5">
      <c r="A5" t="inlineStr">
        <is>
          <t>A-004</t>
        </is>
      </c>
      <c r="B5" t="inlineStr">
        <is>
          <t>Integration test plan v1</t>
        </is>
      </c>
      <c r="C5" t="inlineStr">
        <is>
          <t>Avengers Assembly</t>
        </is>
      </c>
      <c r="D5" t="inlineStr">
        <is>
          <t>ART 7</t>
        </is>
      </c>
      <c r="E5" t="inlineStr">
        <is>
          <t>Thor</t>
        </is>
      </c>
      <c r="F5" t="inlineStr">
        <is>
          <t>Product Manager</t>
        </is>
      </c>
      <c r="G5" t="inlineStr">
        <is>
          <t>Sprint 1</t>
        </is>
      </c>
      <c r="H5" t="n">
        <v>12</v>
      </c>
      <c r="I5" t="inlineStr">
        <is>
          <t>Planned</t>
        </is>
      </c>
      <c r="J5" t="inlineStr">
        <is>
          <t>High</t>
        </is>
      </c>
      <c r="K5" t="inlineStr">
        <is>
          <t>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8" customWidth="1" min="8" max="8"/>
    <col width="10" customWidth="1" min="9" max="9"/>
    <col width="16" customWidth="1" min="10" max="10"/>
    <col width="16" customWidth="1" min="11" max="11"/>
  </cols>
  <sheetData>
    <row r="1">
      <c r="A1" s="1" t="inlineStr">
        <is>
          <t>Activity</t>
        </is>
      </c>
      <c r="B1" s="1" t="inlineStr">
        <is>
          <t>Zeus</t>
        </is>
      </c>
      <c r="C1" s="1" t="inlineStr">
        <is>
          <t>Athena</t>
        </is>
      </c>
      <c r="D1" s="1" t="inlineStr">
        <is>
          <t>Hermes</t>
        </is>
      </c>
      <c r="E1" s="1" t="inlineStr">
        <is>
          <t>M</t>
        </is>
      </c>
      <c r="F1" s="1" t="inlineStr">
        <is>
          <t>Q</t>
        </is>
      </c>
      <c r="G1" s="1" t="inlineStr">
        <is>
          <t>Moneypenny</t>
        </is>
      </c>
      <c r="H1" s="1" t="inlineStr">
        <is>
          <t>Product Managers</t>
        </is>
      </c>
      <c r="I1" s="1" t="inlineStr">
        <is>
          <t>RTEs</t>
        </is>
      </c>
      <c r="J1" s="1" t="inlineStr">
        <is>
          <t>System Architects</t>
        </is>
      </c>
      <c r="K1" s="1" t="inlineStr">
        <is>
          <t>Scrum Masters</t>
        </is>
      </c>
    </row>
    <row r="2">
      <c r="A2" t="inlineStr">
        <is>
          <t>PI Planning (Portfolio)</t>
        </is>
      </c>
      <c r="B2" t="inlineStr">
        <is>
          <t>A</t>
        </is>
      </c>
      <c r="C2" t="inlineStr">
        <is>
          <t>C</t>
        </is>
      </c>
      <c r="D2" t="inlineStr">
        <is>
          <t>I</t>
        </is>
      </c>
      <c r="E2" t="inlineStr">
        <is>
          <t>R</t>
        </is>
      </c>
      <c r="F2" t="inlineStr">
        <is>
          <t>C</t>
        </is>
      </c>
      <c r="G2" t="inlineStr">
        <is>
          <t>I</t>
        </is>
      </c>
      <c r="H2" t="inlineStr">
        <is>
          <t>C</t>
        </is>
      </c>
      <c r="I2" t="inlineStr">
        <is>
          <t>I</t>
        </is>
      </c>
      <c r="J2" t="inlineStr">
        <is>
          <t>I</t>
        </is>
      </c>
      <c r="K2" t="inlineStr">
        <is>
          <t>I</t>
        </is>
      </c>
    </row>
    <row r="3">
      <c r="A3" t="inlineStr">
        <is>
          <t>Solution PI Planning</t>
        </is>
      </c>
      <c r="B3" t="inlineStr">
        <is>
          <t>I</t>
        </is>
      </c>
      <c r="C3" t="inlineStr">
        <is>
          <t>C</t>
        </is>
      </c>
      <c r="D3" t="inlineStr">
        <is>
          <t>I</t>
        </is>
      </c>
      <c r="E3" t="inlineStr">
        <is>
          <t>A</t>
        </is>
      </c>
      <c r="F3" t="inlineStr">
        <is>
          <t>C</t>
        </is>
      </c>
      <c r="G3" t="inlineStr">
        <is>
          <t>R</t>
        </is>
      </c>
      <c r="H3" t="inlineStr">
        <is>
          <t>C</t>
        </is>
      </c>
      <c r="I3" t="inlineStr">
        <is>
          <t>R</t>
        </is>
      </c>
      <c r="J3" t="inlineStr">
        <is>
          <t>C</t>
        </is>
      </c>
      <c r="K3" t="inlineStr">
        <is>
          <t>I</t>
        </is>
      </c>
    </row>
    <row r="4">
      <c r="A4" t="inlineStr">
        <is>
          <t>Architecture Sync</t>
        </is>
      </c>
      <c r="B4" t="inlineStr">
        <is>
          <t>I</t>
        </is>
      </c>
      <c r="C4" t="inlineStr">
        <is>
          <t>A</t>
        </is>
      </c>
      <c r="D4" t="inlineStr">
        <is>
          <t>I</t>
        </is>
      </c>
      <c r="E4" t="inlineStr">
        <is>
          <t>C</t>
        </is>
      </c>
      <c r="F4" t="inlineStr">
        <is>
          <t>R</t>
        </is>
      </c>
      <c r="G4" t="inlineStr">
        <is>
          <t>I</t>
        </is>
      </c>
      <c r="H4" t="inlineStr">
        <is>
          <t>I</t>
        </is>
      </c>
      <c r="I4" t="inlineStr">
        <is>
          <t>I</t>
        </is>
      </c>
      <c r="J4" t="inlineStr">
        <is>
          <t>R</t>
        </is>
      </c>
      <c r="K4" t="inlineStr">
        <is>
          <t>I</t>
        </is>
      </c>
    </row>
    <row r="5">
      <c r="A5" t="inlineStr">
        <is>
          <t>Monthly Stakeholder Review</t>
        </is>
      </c>
      <c r="B5" t="inlineStr">
        <is>
          <t>A</t>
        </is>
      </c>
      <c r="C5" t="inlineStr">
        <is>
          <t>C</t>
        </is>
      </c>
      <c r="D5" t="inlineStr">
        <is>
          <t>R</t>
        </is>
      </c>
      <c r="E5" t="inlineStr">
        <is>
          <t>I</t>
        </is>
      </c>
      <c r="F5" t="inlineStr">
        <is>
          <t>I</t>
        </is>
      </c>
      <c r="G5" t="inlineStr">
        <is>
          <t>R</t>
        </is>
      </c>
      <c r="H5" t="inlineStr">
        <is>
          <t>C</t>
        </is>
      </c>
      <c r="I5" t="inlineStr">
        <is>
          <t>I</t>
        </is>
      </c>
      <c r="J5" t="inlineStr">
        <is>
          <t>I</t>
        </is>
      </c>
      <c r="K5" t="inlineStr">
        <is>
          <t>I</t>
        </is>
      </c>
    </row>
    <row r="6">
      <c r="A6" t="inlineStr">
        <is>
          <t>Solution Demo</t>
        </is>
      </c>
      <c r="B6" t="inlineStr">
        <is>
          <t>I</t>
        </is>
      </c>
      <c r="C6" t="inlineStr">
        <is>
          <t>I</t>
        </is>
      </c>
      <c r="D6" t="inlineStr">
        <is>
          <t>I</t>
        </is>
      </c>
      <c r="E6" t="inlineStr">
        <is>
          <t>A</t>
        </is>
      </c>
      <c r="F6" t="inlineStr">
        <is>
          <t>C</t>
        </is>
      </c>
      <c r="G6" t="inlineStr">
        <is>
          <t>R</t>
        </is>
      </c>
      <c r="H6" t="inlineStr">
        <is>
          <t>R</t>
        </is>
      </c>
      <c r="I6" t="inlineStr">
        <is>
          <t>R</t>
        </is>
      </c>
      <c r="J6" t="inlineStr">
        <is>
          <t>C</t>
        </is>
      </c>
      <c r="K6" t="inlineStr">
        <is>
          <t>C</t>
        </is>
      </c>
    </row>
    <row r="7">
      <c r="A7" t="inlineStr">
        <is>
          <t>Security Review</t>
        </is>
      </c>
      <c r="B7" t="inlineStr">
        <is>
          <t>I</t>
        </is>
      </c>
      <c r="C7" t="inlineStr">
        <is>
          <t>C</t>
        </is>
      </c>
      <c r="D7" t="inlineStr">
        <is>
          <t>I</t>
        </is>
      </c>
      <c r="E7" t="inlineStr">
        <is>
          <t>C</t>
        </is>
      </c>
      <c r="F7" t="inlineStr">
        <is>
          <t>C</t>
        </is>
      </c>
      <c r="G7" t="inlineStr">
        <is>
          <t>I</t>
        </is>
      </c>
      <c r="H7" t="inlineStr">
        <is>
          <t>C</t>
        </is>
      </c>
      <c r="I7" t="inlineStr">
        <is>
          <t>I</t>
        </is>
      </c>
      <c r="J7" t="inlineStr">
        <is>
          <t>R</t>
        </is>
      </c>
      <c r="K7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60" customWidth="1" min="4" max="4"/>
    <col width="22" customWidth="1" min="5" max="5"/>
    <col width="10" customWidth="1" min="6" max="6"/>
    <col width="12" customWidth="1" min="7" max="7"/>
    <col width="40" customWidth="1" min="8" max="8"/>
    <col width="12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Impact</t>
        </is>
      </c>
      <c r="G1" s="1" t="inlineStr">
        <is>
          <t>Probability</t>
        </is>
      </c>
      <c r="H1" s="1" t="inlineStr">
        <is>
          <t>Mitigation</t>
        </is>
      </c>
      <c r="I1" s="1" t="inlineStr">
        <is>
          <t>Status</t>
        </is>
      </c>
      <c r="J1" s="1" t="inlineStr">
        <is>
          <t>Target Sprint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92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8" customWidth="1" min="4" max="4"/>
    <col width="16" customWidth="1" min="5" max="5"/>
    <col width="28" customWidth="1" min="6" max="6"/>
    <col width="14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4" customWidth="1" min="26" max="26"/>
  </cols>
  <sheetData>
    <row r="1">
      <c r="A1" s="1" t="inlineStr">
        <is>
          <t>Resource</t>
        </is>
      </c>
      <c r="B1" s="1" t="inlineStr">
        <is>
          <t>Role</t>
        </is>
      </c>
      <c r="C1" s="1" t="inlineStr">
        <is>
          <t>Level</t>
        </is>
      </c>
      <c r="D1" s="1" t="inlineStr">
        <is>
          <t>ART</t>
        </is>
      </c>
      <c r="E1" s="1" t="inlineStr">
        <is>
          <t>Team</t>
        </is>
      </c>
      <c r="F1" s="1" t="inlineStr">
        <is>
          <t>Unit</t>
        </is>
      </c>
      <c r="G1" s="1" t="inlineStr">
        <is>
          <t>Cap Hrs/Sprint</t>
        </is>
      </c>
      <c r="H1" s="1" t="inlineStr">
        <is>
          <t>S1 %</t>
        </is>
      </c>
      <c r="I1" s="1" t="inlineStr">
        <is>
          <t>S2 %</t>
        </is>
      </c>
      <c r="J1" s="1" t="inlineStr">
        <is>
          <t>S3 %</t>
        </is>
      </c>
      <c r="K1" s="1" t="inlineStr">
        <is>
          <t>S4 %</t>
        </is>
      </c>
      <c r="L1" s="1" t="inlineStr">
        <is>
          <t>S5 %</t>
        </is>
      </c>
      <c r="M1" s="1" t="inlineStr">
        <is>
          <t>S6 %</t>
        </is>
      </c>
      <c r="N1" s="1" t="inlineStr">
        <is>
          <t>S7 %</t>
        </is>
      </c>
      <c r="O1" s="1" t="inlineStr">
        <is>
          <t>S8 %</t>
        </is>
      </c>
      <c r="P1" s="1" t="inlineStr">
        <is>
          <t>S1 Hrs</t>
        </is>
      </c>
      <c r="Q1" s="1" t="inlineStr">
        <is>
          <t>S2 Hrs</t>
        </is>
      </c>
      <c r="R1" s="1" t="inlineStr">
        <is>
          <t>S3 Hrs</t>
        </is>
      </c>
      <c r="S1" s="1" t="inlineStr">
        <is>
          <t>S4 Hrs</t>
        </is>
      </c>
      <c r="T1" s="1" t="inlineStr">
        <is>
          <t>S5 Hrs</t>
        </is>
      </c>
      <c r="U1" s="1" t="inlineStr">
        <is>
          <t>S6 Hrs</t>
        </is>
      </c>
      <c r="V1" s="1" t="inlineStr">
        <is>
          <t>S7 Hrs</t>
        </is>
      </c>
      <c r="W1" s="1" t="inlineStr">
        <is>
          <t>S8 Hrs</t>
        </is>
      </c>
      <c r="X1" s="1" t="inlineStr">
        <is>
          <t>Total Hrs</t>
        </is>
      </c>
      <c r="Y1" s="1" t="inlineStr">
        <is>
          <t>Avg Util %</t>
        </is>
      </c>
      <c r="Z1" s="1" t="inlineStr">
        <is>
          <t>Over/Under Hrs</t>
        </is>
      </c>
    </row>
    <row r="2">
      <c r="A2" t="inlineStr">
        <is>
          <t>Batman</t>
        </is>
      </c>
      <c r="B2" t="inlineStr">
        <is>
          <t>Product Manager</t>
        </is>
      </c>
      <c r="C2" t="inlineStr">
        <is>
          <t>ART</t>
        </is>
      </c>
      <c r="D2" t="inlineStr">
        <is>
          <t>ART 1</t>
        </is>
      </c>
      <c r="E2" t="inlineStr">
        <is>
          <t>Team Alpha</t>
        </is>
      </c>
      <c r="F2" t="inlineStr">
        <is>
          <t>Justice League Command</t>
        </is>
      </c>
      <c r="G2" t="n">
        <v>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>
        <f>G2*H2</f>
        <v/>
      </c>
      <c r="Q2">
        <f>G2*I2</f>
        <v/>
      </c>
      <c r="R2">
        <f>G2*J2</f>
        <v/>
      </c>
      <c r="S2">
        <f>G2*K2</f>
        <v/>
      </c>
      <c r="T2">
        <f>G2*L2</f>
        <v/>
      </c>
      <c r="U2">
        <f>G2*M2</f>
        <v/>
      </c>
      <c r="V2">
        <f>G2*N2</f>
        <v/>
      </c>
      <c r="W2">
        <f>G2*O2</f>
        <v/>
      </c>
      <c r="X2">
        <f>SUM(P2:W2)</f>
        <v/>
      </c>
      <c r="Y2">
        <f>AVERAGE(H2:O2)</f>
        <v/>
      </c>
      <c r="Z2">
        <f>X2-G2*8</f>
        <v/>
      </c>
    </row>
    <row r="3">
      <c r="A3" t="inlineStr">
        <is>
          <t>Superman</t>
        </is>
      </c>
      <c r="B3" t="inlineStr">
        <is>
          <t>Release Train Engineer</t>
        </is>
      </c>
      <c r="C3" t="inlineStr">
        <is>
          <t>ART</t>
        </is>
      </c>
      <c r="D3" t="inlineStr">
        <is>
          <t>ART 1</t>
        </is>
      </c>
      <c r="E3" t="inlineStr">
        <is>
          <t>Team Alpha</t>
        </is>
      </c>
      <c r="F3" t="inlineStr">
        <is>
          <t>Justice League Command</t>
        </is>
      </c>
      <c r="G3" t="n">
        <v>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>
        <f>G3*H3</f>
        <v/>
      </c>
      <c r="Q3">
        <f>G3*I3</f>
        <v/>
      </c>
      <c r="R3">
        <f>G3*J3</f>
        <v/>
      </c>
      <c r="S3">
        <f>G3*K3</f>
        <v/>
      </c>
      <c r="T3">
        <f>G3*L3</f>
        <v/>
      </c>
      <c r="U3">
        <f>G3*M3</f>
        <v/>
      </c>
      <c r="V3">
        <f>G3*N3</f>
        <v/>
      </c>
      <c r="W3">
        <f>G3*O3</f>
        <v/>
      </c>
      <c r="X3">
        <f>SUM(P3:W3)</f>
        <v/>
      </c>
      <c r="Y3">
        <f>AVERAGE(H3:O3)</f>
        <v/>
      </c>
      <c r="Z3">
        <f>X3-G3*8</f>
        <v/>
      </c>
    </row>
    <row r="4">
      <c r="A4" t="inlineStr">
        <is>
          <t>Wonder Woman</t>
        </is>
      </c>
      <c r="B4" t="inlineStr">
        <is>
          <t>System Architect</t>
        </is>
      </c>
      <c r="C4" t="inlineStr">
        <is>
          <t>ART</t>
        </is>
      </c>
      <c r="D4" t="inlineStr">
        <is>
          <t>ART 1</t>
        </is>
      </c>
      <c r="E4" t="inlineStr">
        <is>
          <t>Team Alpha</t>
        </is>
      </c>
      <c r="F4" t="inlineStr">
        <is>
          <t>Justice League Command</t>
        </is>
      </c>
      <c r="G4" t="n">
        <v>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>
        <f>G4*H4</f>
        <v/>
      </c>
      <c r="Q4">
        <f>G4*I4</f>
        <v/>
      </c>
      <c r="R4">
        <f>G4*J4</f>
        <v/>
      </c>
      <c r="S4">
        <f>G4*K4</f>
        <v/>
      </c>
      <c r="T4">
        <f>G4*L4</f>
        <v/>
      </c>
      <c r="U4">
        <f>G4*M4</f>
        <v/>
      </c>
      <c r="V4">
        <f>G4*N4</f>
        <v/>
      </c>
      <c r="W4">
        <f>G4*O4</f>
        <v/>
      </c>
      <c r="X4">
        <f>SUM(P4:W4)</f>
        <v/>
      </c>
      <c r="Y4">
        <f>AVERAGE(H4:O4)</f>
        <v/>
      </c>
      <c r="Z4">
        <f>X4-G4*8</f>
        <v/>
      </c>
    </row>
    <row r="5">
      <c r="A5" t="inlineStr">
        <is>
          <t>Iron Man</t>
        </is>
      </c>
      <c r="B5" t="inlineStr">
        <is>
          <t>Scrum Master</t>
        </is>
      </c>
      <c r="C5" t="inlineStr">
        <is>
          <t>ART</t>
        </is>
      </c>
      <c r="D5" t="inlineStr">
        <is>
          <t>ART 1</t>
        </is>
      </c>
      <c r="E5" t="inlineStr">
        <is>
          <t>Team Beta</t>
        </is>
      </c>
      <c r="F5" t="inlineStr">
        <is>
          <t>Avengers Interface</t>
        </is>
      </c>
      <c r="G5" t="n">
        <v>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>
        <f>G5*H5</f>
        <v/>
      </c>
      <c r="Q5">
        <f>G5*I5</f>
        <v/>
      </c>
      <c r="R5">
        <f>G5*J5</f>
        <v/>
      </c>
      <c r="S5">
        <f>G5*K5</f>
        <v/>
      </c>
      <c r="T5">
        <f>G5*L5</f>
        <v/>
      </c>
      <c r="U5">
        <f>G5*M5</f>
        <v/>
      </c>
      <c r="V5">
        <f>G5*N5</f>
        <v/>
      </c>
      <c r="W5">
        <f>G5*O5</f>
        <v/>
      </c>
      <c r="X5">
        <f>SUM(P5:W5)</f>
        <v/>
      </c>
      <c r="Y5">
        <f>AVERAGE(H5:O5)</f>
        <v/>
      </c>
      <c r="Z5">
        <f>X5-G5*8</f>
        <v/>
      </c>
    </row>
    <row r="6">
      <c r="A6" t="inlineStr">
        <is>
          <t>Captain America</t>
        </is>
      </c>
      <c r="B6" t="inlineStr">
        <is>
          <t>Scrum Master</t>
        </is>
      </c>
      <c r="C6" t="inlineStr">
        <is>
          <t>ART</t>
        </is>
      </c>
      <c r="D6" t="inlineStr">
        <is>
          <t>ART 1</t>
        </is>
      </c>
      <c r="E6" t="inlineStr">
        <is>
          <t>Team Beta</t>
        </is>
      </c>
      <c r="F6" t="inlineStr">
        <is>
          <t>Avengers Interface</t>
        </is>
      </c>
      <c r="G6" t="n">
        <v>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>
        <f>G6*H6</f>
        <v/>
      </c>
      <c r="Q6">
        <f>G6*I6</f>
        <v/>
      </c>
      <c r="R6">
        <f>G6*J6</f>
        <v/>
      </c>
      <c r="S6">
        <f>G6*K6</f>
        <v/>
      </c>
      <c r="T6">
        <f>G6*L6</f>
        <v/>
      </c>
      <c r="U6">
        <f>G6*M6</f>
        <v/>
      </c>
      <c r="V6">
        <f>G6*N6</f>
        <v/>
      </c>
      <c r="W6">
        <f>G6*O6</f>
        <v/>
      </c>
      <c r="X6">
        <f>SUM(P6:W6)</f>
        <v/>
      </c>
      <c r="Y6">
        <f>AVERAGE(H6:O6)</f>
        <v/>
      </c>
      <c r="Z6">
        <f>X6-G6*8</f>
        <v/>
      </c>
    </row>
    <row r="7">
      <c r="A7" t="inlineStr">
        <is>
          <t>Professor X</t>
        </is>
      </c>
      <c r="B7" t="inlineStr">
        <is>
          <t>Product Manager</t>
        </is>
      </c>
      <c r="C7" t="inlineStr">
        <is>
          <t>ART</t>
        </is>
      </c>
      <c r="D7" t="inlineStr">
        <is>
          <t>ART 2</t>
        </is>
      </c>
      <c r="E7" t="inlineStr">
        <is>
          <t>Team Alpha</t>
        </is>
      </c>
      <c r="F7" t="inlineStr">
        <is>
          <t>X-Men Flight</t>
        </is>
      </c>
      <c r="G7" t="n">
        <v>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>
        <f>G7*H7</f>
        <v/>
      </c>
      <c r="Q7">
        <f>G7*I7</f>
        <v/>
      </c>
      <c r="R7">
        <f>G7*J7</f>
        <v/>
      </c>
      <c r="S7">
        <f>G7*K7</f>
        <v/>
      </c>
      <c r="T7">
        <f>G7*L7</f>
        <v/>
      </c>
      <c r="U7">
        <f>G7*M7</f>
        <v/>
      </c>
      <c r="V7">
        <f>G7*N7</f>
        <v/>
      </c>
      <c r="W7">
        <f>G7*O7</f>
        <v/>
      </c>
      <c r="X7">
        <f>SUM(P7:W7)</f>
        <v/>
      </c>
      <c r="Y7">
        <f>AVERAGE(H7:O7)</f>
        <v/>
      </c>
      <c r="Z7">
        <f>X7-G7*8</f>
        <v/>
      </c>
    </row>
    <row r="8">
      <c r="A8" t="inlineStr">
        <is>
          <t>Cyclops</t>
        </is>
      </c>
      <c r="B8" t="inlineStr">
        <is>
          <t>Release Train Engineer</t>
        </is>
      </c>
      <c r="C8" t="inlineStr">
        <is>
          <t>ART</t>
        </is>
      </c>
      <c r="D8" t="inlineStr">
        <is>
          <t>ART 2</t>
        </is>
      </c>
      <c r="E8" t="inlineStr">
        <is>
          <t>Team Alpha</t>
        </is>
      </c>
      <c r="F8" t="inlineStr">
        <is>
          <t>X-Men Flight</t>
        </is>
      </c>
      <c r="G8" t="n">
        <v>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>
        <f>G8*H8</f>
        <v/>
      </c>
      <c r="Q8">
        <f>G8*I8</f>
        <v/>
      </c>
      <c r="R8">
        <f>G8*J8</f>
        <v/>
      </c>
      <c r="S8">
        <f>G8*K8</f>
        <v/>
      </c>
      <c r="T8">
        <f>G8*L8</f>
        <v/>
      </c>
      <c r="U8">
        <f>G8*M8</f>
        <v/>
      </c>
      <c r="V8">
        <f>G8*N8</f>
        <v/>
      </c>
      <c r="W8">
        <f>G8*O8</f>
        <v/>
      </c>
      <c r="X8">
        <f>SUM(P8:W8)</f>
        <v/>
      </c>
      <c r="Y8">
        <f>AVERAGE(H8:O8)</f>
        <v/>
      </c>
      <c r="Z8">
        <f>X8-G8*8</f>
        <v/>
      </c>
    </row>
    <row r="9">
      <c r="A9" t="inlineStr">
        <is>
          <t>Storm</t>
        </is>
      </c>
      <c r="B9" t="inlineStr">
        <is>
          <t>System Architect</t>
        </is>
      </c>
      <c r="C9" t="inlineStr">
        <is>
          <t>ART</t>
        </is>
      </c>
      <c r="D9" t="inlineStr">
        <is>
          <t>ART 2</t>
        </is>
      </c>
      <c r="E9" t="inlineStr">
        <is>
          <t>Team Alpha</t>
        </is>
      </c>
      <c r="F9" t="inlineStr">
        <is>
          <t>X-Men Flight</t>
        </is>
      </c>
      <c r="G9" t="n">
        <v>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>
        <f>G9*H9</f>
        <v/>
      </c>
      <c r="Q9">
        <f>G9*I9</f>
        <v/>
      </c>
      <c r="R9">
        <f>G9*J9</f>
        <v/>
      </c>
      <c r="S9">
        <f>G9*K9</f>
        <v/>
      </c>
      <c r="T9">
        <f>G9*L9</f>
        <v/>
      </c>
      <c r="U9">
        <f>G9*M9</f>
        <v/>
      </c>
      <c r="V9">
        <f>G9*N9</f>
        <v/>
      </c>
      <c r="W9">
        <f>G9*O9</f>
        <v/>
      </c>
      <c r="X9">
        <f>SUM(P9:W9)</f>
        <v/>
      </c>
      <c r="Y9">
        <f>AVERAGE(H9:O9)</f>
        <v/>
      </c>
      <c r="Z9">
        <f>X9-G9*8</f>
        <v/>
      </c>
    </row>
    <row r="10">
      <c r="A10" t="inlineStr">
        <is>
          <t>Reed Richards</t>
        </is>
      </c>
      <c r="B10" t="inlineStr">
        <is>
          <t>Scrum Master</t>
        </is>
      </c>
      <c r="C10" t="inlineStr">
        <is>
          <t>ART</t>
        </is>
      </c>
      <c r="D10" t="inlineStr">
        <is>
          <t>ART 2</t>
        </is>
      </c>
      <c r="E10" t="inlineStr">
        <is>
          <t>Team Beta</t>
        </is>
      </c>
      <c r="F10" t="inlineStr">
        <is>
          <t>Fantastic Four Navigation</t>
        </is>
      </c>
      <c r="G10" t="n">
        <v>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>
        <f>G10*H10</f>
        <v/>
      </c>
      <c r="Q10">
        <f>G10*I10</f>
        <v/>
      </c>
      <c r="R10">
        <f>G10*J10</f>
        <v/>
      </c>
      <c r="S10">
        <f>G10*K10</f>
        <v/>
      </c>
      <c r="T10">
        <f>G10*L10</f>
        <v/>
      </c>
      <c r="U10">
        <f>G10*M10</f>
        <v/>
      </c>
      <c r="V10">
        <f>G10*N10</f>
        <v/>
      </c>
      <c r="W10">
        <f>G10*O10</f>
        <v/>
      </c>
      <c r="X10">
        <f>SUM(P10:W10)</f>
        <v/>
      </c>
      <c r="Y10">
        <f>AVERAGE(H10:O10)</f>
        <v/>
      </c>
      <c r="Z10">
        <f>X10-G10*8</f>
        <v/>
      </c>
    </row>
    <row r="11">
      <c r="A11" t="inlineStr">
        <is>
          <t>Sue Storm</t>
        </is>
      </c>
      <c r="B11" t="inlineStr">
        <is>
          <t>Scrum Master</t>
        </is>
      </c>
      <c r="C11" t="inlineStr">
        <is>
          <t>ART</t>
        </is>
      </c>
      <c r="D11" t="inlineStr">
        <is>
          <t>ART 2</t>
        </is>
      </c>
      <c r="E11" t="inlineStr">
        <is>
          <t>Team Beta</t>
        </is>
      </c>
      <c r="F11" t="inlineStr">
        <is>
          <t>Fantastic Four Navigation</t>
        </is>
      </c>
      <c r="G11" t="n">
        <v>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>
        <f>G11*H11</f>
        <v/>
      </c>
      <c r="Q11">
        <f>G11*I11</f>
        <v/>
      </c>
      <c r="R11">
        <f>G11*J11</f>
        <v/>
      </c>
      <c r="S11">
        <f>G11*K11</f>
        <v/>
      </c>
      <c r="T11">
        <f>G11*L11</f>
        <v/>
      </c>
      <c r="U11">
        <f>G11*M11</f>
        <v/>
      </c>
      <c r="V11">
        <f>G11*N11</f>
        <v/>
      </c>
      <c r="W11">
        <f>G11*O11</f>
        <v/>
      </c>
      <c r="X11">
        <f>SUM(P11:W11)</f>
        <v/>
      </c>
      <c r="Y11">
        <f>AVERAGE(H11:O11)</f>
        <v/>
      </c>
      <c r="Z11">
        <f>X11-G11*8</f>
        <v/>
      </c>
    </row>
    <row r="12">
      <c r="A12" t="inlineStr">
        <is>
          <t>Raven</t>
        </is>
      </c>
      <c r="B12" t="inlineStr">
        <is>
          <t>Product Manager</t>
        </is>
      </c>
      <c r="C12" t="inlineStr">
        <is>
          <t>ART</t>
        </is>
      </c>
      <c r="D12" t="inlineStr">
        <is>
          <t>ART 3</t>
        </is>
      </c>
      <c r="E12" t="inlineStr">
        <is>
          <t>Team Alpha</t>
        </is>
      </c>
      <c r="F12" t="inlineStr">
        <is>
          <t>Teen Titans Communication</t>
        </is>
      </c>
      <c r="G12" t="n">
        <v>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>
        <f>G12*H12</f>
        <v/>
      </c>
      <c r="Q12">
        <f>G12*I12</f>
        <v/>
      </c>
      <c r="R12">
        <f>G12*J12</f>
        <v/>
      </c>
      <c r="S12">
        <f>G12*K12</f>
        <v/>
      </c>
      <c r="T12">
        <f>G12*L12</f>
        <v/>
      </c>
      <c r="U12">
        <f>G12*M12</f>
        <v/>
      </c>
      <c r="V12">
        <f>G12*N12</f>
        <v/>
      </c>
      <c r="W12">
        <f>G12*O12</f>
        <v/>
      </c>
      <c r="X12">
        <f>SUM(P12:W12)</f>
        <v/>
      </c>
      <c r="Y12">
        <f>AVERAGE(H12:O12)</f>
        <v/>
      </c>
      <c r="Z12">
        <f>X12-G12*8</f>
        <v/>
      </c>
    </row>
    <row r="13">
      <c r="A13" t="inlineStr">
        <is>
          <t>Robin</t>
        </is>
      </c>
      <c r="B13" t="inlineStr">
        <is>
          <t>Release Train Engineer</t>
        </is>
      </c>
      <c r="C13" t="inlineStr">
        <is>
          <t>ART</t>
        </is>
      </c>
      <c r="D13" t="inlineStr">
        <is>
          <t>ART 3</t>
        </is>
      </c>
      <c r="E13" t="inlineStr">
        <is>
          <t>Team Alpha</t>
        </is>
      </c>
      <c r="F13" t="inlineStr">
        <is>
          <t>Teen Titans Communication</t>
        </is>
      </c>
      <c r="G13" t="n">
        <v>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>
        <f>G13*H13</f>
        <v/>
      </c>
      <c r="Q13">
        <f>G13*I13</f>
        <v/>
      </c>
      <c r="R13">
        <f>G13*J13</f>
        <v/>
      </c>
      <c r="S13">
        <f>G13*K13</f>
        <v/>
      </c>
      <c r="T13">
        <f>G13*L13</f>
        <v/>
      </c>
      <c r="U13">
        <f>G13*M13</f>
        <v/>
      </c>
      <c r="V13">
        <f>G13*N13</f>
        <v/>
      </c>
      <c r="W13">
        <f>G13*O13</f>
        <v/>
      </c>
      <c r="X13">
        <f>SUM(P13:W13)</f>
        <v/>
      </c>
      <c r="Y13">
        <f>AVERAGE(H13:O13)</f>
        <v/>
      </c>
      <c r="Z13">
        <f>X13-G13*8</f>
        <v/>
      </c>
    </row>
    <row r="14">
      <c r="A14" t="inlineStr">
        <is>
          <t>Cyborg</t>
        </is>
      </c>
      <c r="B14" t="inlineStr">
        <is>
          <t>System Architect</t>
        </is>
      </c>
      <c r="C14" t="inlineStr">
        <is>
          <t>ART</t>
        </is>
      </c>
      <c r="D14" t="inlineStr">
        <is>
          <t>ART 3</t>
        </is>
      </c>
      <c r="E14" t="inlineStr">
        <is>
          <t>Team Alpha</t>
        </is>
      </c>
      <c r="F14" t="inlineStr">
        <is>
          <t>Teen Titans Communication</t>
        </is>
      </c>
      <c r="G14" t="n">
        <v>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>
        <f>G14*H14</f>
        <v/>
      </c>
      <c r="Q14">
        <f>G14*I14</f>
        <v/>
      </c>
      <c r="R14">
        <f>G14*J14</f>
        <v/>
      </c>
      <c r="S14">
        <f>G14*K14</f>
        <v/>
      </c>
      <c r="T14">
        <f>G14*L14</f>
        <v/>
      </c>
      <c r="U14">
        <f>G14*M14</f>
        <v/>
      </c>
      <c r="V14">
        <f>G14*N14</f>
        <v/>
      </c>
      <c r="W14">
        <f>G14*O14</f>
        <v/>
      </c>
      <c r="X14">
        <f>SUM(P14:W14)</f>
        <v/>
      </c>
      <c r="Y14">
        <f>AVERAGE(H14:O14)</f>
        <v/>
      </c>
      <c r="Z14">
        <f>X14-G14*8</f>
        <v/>
      </c>
    </row>
    <row r="15">
      <c r="A15" t="inlineStr">
        <is>
          <t>Star-Lord</t>
        </is>
      </c>
      <c r="B15" t="inlineStr">
        <is>
          <t>Scrum Master</t>
        </is>
      </c>
      <c r="C15" t="inlineStr">
        <is>
          <t>ART</t>
        </is>
      </c>
      <c r="D15" t="inlineStr">
        <is>
          <t>ART 3</t>
        </is>
      </c>
      <c r="E15" t="inlineStr">
        <is>
          <t>Team Beta</t>
        </is>
      </c>
      <c r="F15" t="inlineStr">
        <is>
          <t>Guardians of the Network</t>
        </is>
      </c>
      <c r="G15" t="n">
        <v>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>
        <f>G15*H15</f>
        <v/>
      </c>
      <c r="Q15">
        <f>G15*I15</f>
        <v/>
      </c>
      <c r="R15">
        <f>G15*J15</f>
        <v/>
      </c>
      <c r="S15">
        <f>G15*K15</f>
        <v/>
      </c>
      <c r="T15">
        <f>G15*L15</f>
        <v/>
      </c>
      <c r="U15">
        <f>G15*M15</f>
        <v/>
      </c>
      <c r="V15">
        <f>G15*N15</f>
        <v/>
      </c>
      <c r="W15">
        <f>G15*O15</f>
        <v/>
      </c>
      <c r="X15">
        <f>SUM(P15:W15)</f>
        <v/>
      </c>
      <c r="Y15">
        <f>AVERAGE(H15:O15)</f>
        <v/>
      </c>
      <c r="Z15">
        <f>X15-G15*8</f>
        <v/>
      </c>
    </row>
    <row r="16">
      <c r="A16" t="inlineStr">
        <is>
          <t>Rocket</t>
        </is>
      </c>
      <c r="B16" t="inlineStr">
        <is>
          <t>Scrum Master</t>
        </is>
      </c>
      <c r="C16" t="inlineStr">
        <is>
          <t>ART</t>
        </is>
      </c>
      <c r="D16" t="inlineStr">
        <is>
          <t>ART 3</t>
        </is>
      </c>
      <c r="E16" t="inlineStr">
        <is>
          <t>Team Beta</t>
        </is>
      </c>
      <c r="F16" t="inlineStr">
        <is>
          <t>Guardians of the Network</t>
        </is>
      </c>
      <c r="G16" t="n">
        <v>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>
        <f>G16*H16</f>
        <v/>
      </c>
      <c r="Q16">
        <f>G16*I16</f>
        <v/>
      </c>
      <c r="R16">
        <f>G16*J16</f>
        <v/>
      </c>
      <c r="S16">
        <f>G16*K16</f>
        <v/>
      </c>
      <c r="T16">
        <f>G16*L16</f>
        <v/>
      </c>
      <c r="U16">
        <f>G16*M16</f>
        <v/>
      </c>
      <c r="V16">
        <f>G16*N16</f>
        <v/>
      </c>
      <c r="W16">
        <f>G16*O16</f>
        <v/>
      </c>
      <c r="X16">
        <f>SUM(P16:W16)</f>
        <v/>
      </c>
      <c r="Y16">
        <f>AVERAGE(H16:O16)</f>
        <v/>
      </c>
      <c r="Z16">
        <f>X16-G16*8</f>
        <v/>
      </c>
    </row>
    <row r="17">
      <c r="A17" t="inlineStr">
        <is>
          <t>Nick Fury</t>
        </is>
      </c>
      <c r="B17" t="inlineStr">
        <is>
          <t>Product Manager</t>
        </is>
      </c>
      <c r="C17" t="inlineStr">
        <is>
          <t>ART</t>
        </is>
      </c>
      <c r="D17" t="inlineStr">
        <is>
          <t>ART 4</t>
        </is>
      </c>
      <c r="E17" t="inlineStr">
        <is>
          <t>Team Alpha</t>
        </is>
      </c>
      <c r="F17" t="inlineStr">
        <is>
          <t>S.H.I.E.L.D. Security</t>
        </is>
      </c>
      <c r="G17" t="n">
        <v>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>
        <f>G17*H17</f>
        <v/>
      </c>
      <c r="Q17">
        <f>G17*I17</f>
        <v/>
      </c>
      <c r="R17">
        <f>G17*J17</f>
        <v/>
      </c>
      <c r="S17">
        <f>G17*K17</f>
        <v/>
      </c>
      <c r="T17">
        <f>G17*L17</f>
        <v/>
      </c>
      <c r="U17">
        <f>G17*M17</f>
        <v/>
      </c>
      <c r="V17">
        <f>G17*N17</f>
        <v/>
      </c>
      <c r="W17">
        <f>G17*O17</f>
        <v/>
      </c>
      <c r="X17">
        <f>SUM(P17:W17)</f>
        <v/>
      </c>
      <c r="Y17">
        <f>AVERAGE(H17:O17)</f>
        <v/>
      </c>
      <c r="Z17">
        <f>X17-G17*8</f>
        <v/>
      </c>
    </row>
    <row r="18">
      <c r="A18" t="inlineStr">
        <is>
          <t>Black Widow</t>
        </is>
      </c>
      <c r="B18" t="inlineStr">
        <is>
          <t>Release Train Engineer</t>
        </is>
      </c>
      <c r="C18" t="inlineStr">
        <is>
          <t>ART</t>
        </is>
      </c>
      <c r="D18" t="inlineStr">
        <is>
          <t>ART 4</t>
        </is>
      </c>
      <c r="E18" t="inlineStr">
        <is>
          <t>Team Alpha</t>
        </is>
      </c>
      <c r="F18" t="inlineStr">
        <is>
          <t>S.H.I.E.L.D. Security</t>
        </is>
      </c>
      <c r="G18" t="n">
        <v>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>
        <f>G18*H18</f>
        <v/>
      </c>
      <c r="Q18">
        <f>G18*I18</f>
        <v/>
      </c>
      <c r="R18">
        <f>G18*J18</f>
        <v/>
      </c>
      <c r="S18">
        <f>G18*K18</f>
        <v/>
      </c>
      <c r="T18">
        <f>G18*L18</f>
        <v/>
      </c>
      <c r="U18">
        <f>G18*M18</f>
        <v/>
      </c>
      <c r="V18">
        <f>G18*N18</f>
        <v/>
      </c>
      <c r="W18">
        <f>G18*O18</f>
        <v/>
      </c>
      <c r="X18">
        <f>SUM(P18:W18)</f>
        <v/>
      </c>
      <c r="Y18">
        <f>AVERAGE(H18:O18)</f>
        <v/>
      </c>
      <c r="Z18">
        <f>X18-G18*8</f>
        <v/>
      </c>
    </row>
    <row r="19">
      <c r="A19" t="inlineStr">
        <is>
          <t>Doctor Strange</t>
        </is>
      </c>
      <c r="B19" t="inlineStr">
        <is>
          <t>System Architect</t>
        </is>
      </c>
      <c r="C19" t="inlineStr">
        <is>
          <t>ART</t>
        </is>
      </c>
      <c r="D19" t="inlineStr">
        <is>
          <t>ART 4</t>
        </is>
      </c>
      <c r="E19" t="inlineStr">
        <is>
          <t>Team Alpha</t>
        </is>
      </c>
      <c r="F19" t="inlineStr">
        <is>
          <t>S.H.I.E.L.D. Security</t>
        </is>
      </c>
      <c r="G19" t="n">
        <v>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>
        <f>G19*H19</f>
        <v/>
      </c>
      <c r="Q19">
        <f>G19*I19</f>
        <v/>
      </c>
      <c r="R19">
        <f>G19*J19</f>
        <v/>
      </c>
      <c r="S19">
        <f>G19*K19</f>
        <v/>
      </c>
      <c r="T19">
        <f>G19*L19</f>
        <v/>
      </c>
      <c r="U19">
        <f>G19*M19</f>
        <v/>
      </c>
      <c r="V19">
        <f>G19*N19</f>
        <v/>
      </c>
      <c r="W19">
        <f>G19*O19</f>
        <v/>
      </c>
      <c r="X19">
        <f>SUM(P19:W19)</f>
        <v/>
      </c>
      <c r="Y19">
        <f>AVERAGE(H19:O19)</f>
        <v/>
      </c>
      <c r="Z19">
        <f>X19-G19*8</f>
        <v/>
      </c>
    </row>
    <row r="20">
      <c r="A20" t="inlineStr">
        <is>
          <t>Rorschach</t>
        </is>
      </c>
      <c r="B20" t="inlineStr">
        <is>
          <t>Scrum Master</t>
        </is>
      </c>
      <c r="C20" t="inlineStr">
        <is>
          <t>ART</t>
        </is>
      </c>
      <c r="D20" t="inlineStr">
        <is>
          <t>ART 4</t>
        </is>
      </c>
      <c r="E20" t="inlineStr">
        <is>
          <t>Team Beta</t>
        </is>
      </c>
      <c r="F20" t="inlineStr">
        <is>
          <t>Watchmen Intrusion</t>
        </is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>
        <f>G20*H20</f>
        <v/>
      </c>
      <c r="Q20">
        <f>G20*I20</f>
        <v/>
      </c>
      <c r="R20">
        <f>G20*J20</f>
        <v/>
      </c>
      <c r="S20">
        <f>G20*K20</f>
        <v/>
      </c>
      <c r="T20">
        <f>G20*L20</f>
        <v/>
      </c>
      <c r="U20">
        <f>G20*M20</f>
        <v/>
      </c>
      <c r="V20">
        <f>G20*N20</f>
        <v/>
      </c>
      <c r="W20">
        <f>G20*O20</f>
        <v/>
      </c>
      <c r="X20">
        <f>SUM(P20:W20)</f>
        <v/>
      </c>
      <c r="Y20">
        <f>AVERAGE(H20:O20)</f>
        <v/>
      </c>
      <c r="Z20">
        <f>X20-G20*8</f>
        <v/>
      </c>
    </row>
    <row r="21">
      <c r="A21" t="inlineStr">
        <is>
          <t>Ozymandias</t>
        </is>
      </c>
      <c r="B21" t="inlineStr">
        <is>
          <t>Scrum Master</t>
        </is>
      </c>
      <c r="C21" t="inlineStr">
        <is>
          <t>ART</t>
        </is>
      </c>
      <c r="D21" t="inlineStr">
        <is>
          <t>ART 4</t>
        </is>
      </c>
      <c r="E21" t="inlineStr">
        <is>
          <t>Team Beta</t>
        </is>
      </c>
      <c r="F21" t="inlineStr">
        <is>
          <t>Watchmen Intrusion</t>
        </is>
      </c>
      <c r="G21" t="n">
        <v>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>
        <f>G21*H21</f>
        <v/>
      </c>
      <c r="Q21">
        <f>G21*I21</f>
        <v/>
      </c>
      <c r="R21">
        <f>G21*J21</f>
        <v/>
      </c>
      <c r="S21">
        <f>G21*K21</f>
        <v/>
      </c>
      <c r="T21">
        <f>G21*L21</f>
        <v/>
      </c>
      <c r="U21">
        <f>G21*M21</f>
        <v/>
      </c>
      <c r="V21">
        <f>G21*N21</f>
        <v/>
      </c>
      <c r="W21">
        <f>G21*O21</f>
        <v/>
      </c>
      <c r="X21">
        <f>SUM(P21:W21)</f>
        <v/>
      </c>
      <c r="Y21">
        <f>AVERAGE(H21:O21)</f>
        <v/>
      </c>
      <c r="Z21">
        <f>X21-G21*8</f>
        <v/>
      </c>
    </row>
    <row r="22">
      <c r="A22" t="inlineStr">
        <is>
          <t>Vision</t>
        </is>
      </c>
      <c r="B22" t="inlineStr">
        <is>
          <t>Product Manager</t>
        </is>
      </c>
      <c r="C22" t="inlineStr">
        <is>
          <t>ART</t>
        </is>
      </c>
      <c r="D22" t="inlineStr">
        <is>
          <t>ART 5</t>
        </is>
      </c>
      <c r="E22" t="inlineStr">
        <is>
          <t>Team Alpha</t>
        </is>
      </c>
      <c r="F22" t="inlineStr">
        <is>
          <t>Avengers Intelligence</t>
        </is>
      </c>
      <c r="G22" t="n">
        <v>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>
        <f>G22*H22</f>
        <v/>
      </c>
      <c r="Q22">
        <f>G22*I22</f>
        <v/>
      </c>
      <c r="R22">
        <f>G22*J22</f>
        <v/>
      </c>
      <c r="S22">
        <f>G22*K22</f>
        <v/>
      </c>
      <c r="T22">
        <f>G22*L22</f>
        <v/>
      </c>
      <c r="U22">
        <f>G22*M22</f>
        <v/>
      </c>
      <c r="V22">
        <f>G22*N22</f>
        <v/>
      </c>
      <c r="W22">
        <f>G22*O22</f>
        <v/>
      </c>
      <c r="X22">
        <f>SUM(P22:W22)</f>
        <v/>
      </c>
      <c r="Y22">
        <f>AVERAGE(H22:O22)</f>
        <v/>
      </c>
      <c r="Z22">
        <f>X22-G22*8</f>
        <v/>
      </c>
    </row>
    <row r="23">
      <c r="A23" t="inlineStr">
        <is>
          <t>Hawkeye</t>
        </is>
      </c>
      <c r="B23" t="inlineStr">
        <is>
          <t>Release Train Engineer</t>
        </is>
      </c>
      <c r="C23" t="inlineStr">
        <is>
          <t>ART</t>
        </is>
      </c>
      <c r="D23" t="inlineStr">
        <is>
          <t>ART 5</t>
        </is>
      </c>
      <c r="E23" t="inlineStr">
        <is>
          <t>Team Alpha</t>
        </is>
      </c>
      <c r="F23" t="inlineStr">
        <is>
          <t>Avengers Intelligence</t>
        </is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>
        <f>G23*H23</f>
        <v/>
      </c>
      <c r="Q23">
        <f>G23*I23</f>
        <v/>
      </c>
      <c r="R23">
        <f>G23*J23</f>
        <v/>
      </c>
      <c r="S23">
        <f>G23*K23</f>
        <v/>
      </c>
      <c r="T23">
        <f>G23*L23</f>
        <v/>
      </c>
      <c r="U23">
        <f>G23*M23</f>
        <v/>
      </c>
      <c r="V23">
        <f>G23*N23</f>
        <v/>
      </c>
      <c r="W23">
        <f>G23*O23</f>
        <v/>
      </c>
      <c r="X23">
        <f>SUM(P23:W23)</f>
        <v/>
      </c>
      <c r="Y23">
        <f>AVERAGE(H23:O23)</f>
        <v/>
      </c>
      <c r="Z23">
        <f>X23-G23*8</f>
        <v/>
      </c>
    </row>
    <row r="24">
      <c r="A24" t="inlineStr">
        <is>
          <t>Scarlet Witch</t>
        </is>
      </c>
      <c r="B24" t="inlineStr">
        <is>
          <t>System Architect</t>
        </is>
      </c>
      <c r="C24" t="inlineStr">
        <is>
          <t>ART</t>
        </is>
      </c>
      <c r="D24" t="inlineStr">
        <is>
          <t>ART 5</t>
        </is>
      </c>
      <c r="E24" t="inlineStr">
        <is>
          <t>Team Alpha</t>
        </is>
      </c>
      <c r="F24" t="inlineStr">
        <is>
          <t>Avengers Intelligence</t>
        </is>
      </c>
      <c r="G24" t="n">
        <v>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>
        <f>G24*H24</f>
        <v/>
      </c>
      <c r="Q24">
        <f>G24*I24</f>
        <v/>
      </c>
      <c r="R24">
        <f>G24*J24</f>
        <v/>
      </c>
      <c r="S24">
        <f>G24*K24</f>
        <v/>
      </c>
      <c r="T24">
        <f>G24*L24</f>
        <v/>
      </c>
      <c r="U24">
        <f>G24*M24</f>
        <v/>
      </c>
      <c r="V24">
        <f>G24*N24</f>
        <v/>
      </c>
      <c r="W24">
        <f>G24*O24</f>
        <v/>
      </c>
      <c r="X24">
        <f>SUM(P24:W24)</f>
        <v/>
      </c>
      <c r="Y24">
        <f>AVERAGE(H24:O24)</f>
        <v/>
      </c>
      <c r="Z24">
        <f>X24-G24*8</f>
        <v/>
      </c>
    </row>
    <row r="25">
      <c r="A25" t="inlineStr">
        <is>
          <t>Martian Manhunter</t>
        </is>
      </c>
      <c r="B25" t="inlineStr">
        <is>
          <t>Scrum Master</t>
        </is>
      </c>
      <c r="C25" t="inlineStr">
        <is>
          <t>ART</t>
        </is>
      </c>
      <c r="D25" t="inlineStr">
        <is>
          <t>ART 5</t>
        </is>
      </c>
      <c r="E25" t="inlineStr">
        <is>
          <t>Team Beta</t>
        </is>
      </c>
      <c r="F25" t="inlineStr">
        <is>
          <t>Justice League Analytics</t>
        </is>
      </c>
      <c r="G25" t="n">
        <v>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>
        <f>G25*H25</f>
        <v/>
      </c>
      <c r="Q25">
        <f>G25*I25</f>
        <v/>
      </c>
      <c r="R25">
        <f>G25*J25</f>
        <v/>
      </c>
      <c r="S25">
        <f>G25*K25</f>
        <v/>
      </c>
      <c r="T25">
        <f>G25*L25</f>
        <v/>
      </c>
      <c r="U25">
        <f>G25*M25</f>
        <v/>
      </c>
      <c r="V25">
        <f>G25*N25</f>
        <v/>
      </c>
      <c r="W25">
        <f>G25*O25</f>
        <v/>
      </c>
      <c r="X25">
        <f>SUM(P25:W25)</f>
        <v/>
      </c>
      <c r="Y25">
        <f>AVERAGE(H25:O25)</f>
        <v/>
      </c>
      <c r="Z25">
        <f>X25-G25*8</f>
        <v/>
      </c>
    </row>
    <row r="26">
      <c r="A26" t="inlineStr">
        <is>
          <t>Green Lantern</t>
        </is>
      </c>
      <c r="B26" t="inlineStr">
        <is>
          <t>Scrum Master</t>
        </is>
      </c>
      <c r="C26" t="inlineStr">
        <is>
          <t>ART</t>
        </is>
      </c>
      <c r="D26" t="inlineStr">
        <is>
          <t>ART 5</t>
        </is>
      </c>
      <c r="E26" t="inlineStr">
        <is>
          <t>Team Beta</t>
        </is>
      </c>
      <c r="F26" t="inlineStr">
        <is>
          <t>Justice League Analytics</t>
        </is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>
        <f>G26*H26</f>
        <v/>
      </c>
      <c r="Q26">
        <f>G26*I26</f>
        <v/>
      </c>
      <c r="R26">
        <f>G26*J26</f>
        <v/>
      </c>
      <c r="S26">
        <f>G26*K26</f>
        <v/>
      </c>
      <c r="T26">
        <f>G26*L26</f>
        <v/>
      </c>
      <c r="U26">
        <f>G26*M26</f>
        <v/>
      </c>
      <c r="V26">
        <f>G26*N26</f>
        <v/>
      </c>
      <c r="W26">
        <f>G26*O26</f>
        <v/>
      </c>
      <c r="X26">
        <f>SUM(P26:W26)</f>
        <v/>
      </c>
      <c r="Y26">
        <f>AVERAGE(H26:O26)</f>
        <v/>
      </c>
      <c r="Z26">
        <f>X26-G26*8</f>
        <v/>
      </c>
    </row>
    <row r="27">
      <c r="A27" t="inlineStr">
        <is>
          <t>Jean Grey</t>
        </is>
      </c>
      <c r="B27" t="inlineStr">
        <is>
          <t>Product Manager</t>
        </is>
      </c>
      <c r="C27" t="inlineStr">
        <is>
          <t>ART</t>
        </is>
      </c>
      <c r="D27" t="inlineStr">
        <is>
          <t>ART 6</t>
        </is>
      </c>
      <c r="E27" t="inlineStr">
        <is>
          <t>Team Alpha</t>
        </is>
      </c>
      <c r="F27" t="inlineStr">
        <is>
          <t>X-Men Coordination</t>
        </is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>
        <f>G27*H27</f>
        <v/>
      </c>
      <c r="Q27">
        <f>G27*I27</f>
        <v/>
      </c>
      <c r="R27">
        <f>G27*J27</f>
        <v/>
      </c>
      <c r="S27">
        <f>G27*K27</f>
        <v/>
      </c>
      <c r="T27">
        <f>G27*L27</f>
        <v/>
      </c>
      <c r="U27">
        <f>G27*M27</f>
        <v/>
      </c>
      <c r="V27">
        <f>G27*N27</f>
        <v/>
      </c>
      <c r="W27">
        <f>G27*O27</f>
        <v/>
      </c>
      <c r="X27">
        <f>SUM(P27:W27)</f>
        <v/>
      </c>
      <c r="Y27">
        <f>AVERAGE(H27:O27)</f>
        <v/>
      </c>
      <c r="Z27">
        <f>X27-G27*8</f>
        <v/>
      </c>
    </row>
    <row r="28">
      <c r="A28" t="inlineStr">
        <is>
          <t>Wolverine</t>
        </is>
      </c>
      <c r="B28" t="inlineStr">
        <is>
          <t>Release Train Engineer</t>
        </is>
      </c>
      <c r="C28" t="inlineStr">
        <is>
          <t>ART</t>
        </is>
      </c>
      <c r="D28" t="inlineStr">
        <is>
          <t>ART 6</t>
        </is>
      </c>
      <c r="E28" t="inlineStr">
        <is>
          <t>Team Alpha</t>
        </is>
      </c>
      <c r="F28" t="inlineStr">
        <is>
          <t>X-Men Coordination</t>
        </is>
      </c>
      <c r="G28" t="n">
        <v>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>
        <f>G28*H28</f>
        <v/>
      </c>
      <c r="Q28">
        <f>G28*I28</f>
        <v/>
      </c>
      <c r="R28">
        <f>G28*J28</f>
        <v/>
      </c>
      <c r="S28">
        <f>G28*K28</f>
        <v/>
      </c>
      <c r="T28">
        <f>G28*L28</f>
        <v/>
      </c>
      <c r="U28">
        <f>G28*M28</f>
        <v/>
      </c>
      <c r="V28">
        <f>G28*N28</f>
        <v/>
      </c>
      <c r="W28">
        <f>G28*O28</f>
        <v/>
      </c>
      <c r="X28">
        <f>SUM(P28:W28)</f>
        <v/>
      </c>
      <c r="Y28">
        <f>AVERAGE(H28:O28)</f>
        <v/>
      </c>
      <c r="Z28">
        <f>X28-G28*8</f>
        <v/>
      </c>
    </row>
    <row r="29">
      <c r="A29" t="inlineStr">
        <is>
          <t>Magneto</t>
        </is>
      </c>
      <c r="B29" t="inlineStr">
        <is>
          <t>System Architect</t>
        </is>
      </c>
      <c r="C29" t="inlineStr">
        <is>
          <t>ART</t>
        </is>
      </c>
      <c r="D29" t="inlineStr">
        <is>
          <t>ART 6</t>
        </is>
      </c>
      <c r="E29" t="inlineStr">
        <is>
          <t>Team Alpha</t>
        </is>
      </c>
      <c r="F29" t="inlineStr">
        <is>
          <t>X-Men Coordination</t>
        </is>
      </c>
      <c r="G29" t="n">
        <v>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>
        <f>G29*H29</f>
        <v/>
      </c>
      <c r="Q29">
        <f>G29*I29</f>
        <v/>
      </c>
      <c r="R29">
        <f>G29*J29</f>
        <v/>
      </c>
      <c r="S29">
        <f>G29*K29</f>
        <v/>
      </c>
      <c r="T29">
        <f>G29*L29</f>
        <v/>
      </c>
      <c r="U29">
        <f>G29*M29</f>
        <v/>
      </c>
      <c r="V29">
        <f>G29*N29</f>
        <v/>
      </c>
      <c r="W29">
        <f>G29*O29</f>
        <v/>
      </c>
      <c r="X29">
        <f>SUM(P29:W29)</f>
        <v/>
      </c>
      <c r="Y29">
        <f>AVERAGE(H29:O29)</f>
        <v/>
      </c>
      <c r="Z29">
        <f>X29-G29*8</f>
        <v/>
      </c>
    </row>
    <row r="30">
      <c r="A30" t="inlineStr">
        <is>
          <t>Reed Richards</t>
        </is>
      </c>
      <c r="B30" t="inlineStr">
        <is>
          <t>Scrum Master</t>
        </is>
      </c>
      <c r="C30" t="inlineStr">
        <is>
          <t>ART</t>
        </is>
      </c>
      <c r="D30" t="inlineStr">
        <is>
          <t>ART 6</t>
        </is>
      </c>
      <c r="E30" t="inlineStr">
        <is>
          <t>Team Beta</t>
        </is>
      </c>
      <c r="F30" t="inlineStr">
        <is>
          <t>Fantastic Four Intelligence</t>
        </is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>
        <f>G30*H30</f>
        <v/>
      </c>
      <c r="Q30">
        <f>G30*I30</f>
        <v/>
      </c>
      <c r="R30">
        <f>G30*J30</f>
        <v/>
      </c>
      <c r="S30">
        <f>G30*K30</f>
        <v/>
      </c>
      <c r="T30">
        <f>G30*L30</f>
        <v/>
      </c>
      <c r="U30">
        <f>G30*M30</f>
        <v/>
      </c>
      <c r="V30">
        <f>G30*N30</f>
        <v/>
      </c>
      <c r="W30">
        <f>G30*O30</f>
        <v/>
      </c>
      <c r="X30">
        <f>SUM(P30:W30)</f>
        <v/>
      </c>
      <c r="Y30">
        <f>AVERAGE(H30:O30)</f>
        <v/>
      </c>
      <c r="Z30">
        <f>X30-G30*8</f>
        <v/>
      </c>
    </row>
    <row r="31">
      <c r="A31" t="inlineStr">
        <is>
          <t>Thing</t>
        </is>
      </c>
      <c r="B31" t="inlineStr">
        <is>
          <t>Scrum Master</t>
        </is>
      </c>
      <c r="C31" t="inlineStr">
        <is>
          <t>ART</t>
        </is>
      </c>
      <c r="D31" t="inlineStr">
        <is>
          <t>ART 6</t>
        </is>
      </c>
      <c r="E31" t="inlineStr">
        <is>
          <t>Team Beta</t>
        </is>
      </c>
      <c r="F31" t="inlineStr">
        <is>
          <t>Fantastic Four Intelligence</t>
        </is>
      </c>
      <c r="G31" t="n">
        <v>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>
        <f>G31*H31</f>
        <v/>
      </c>
      <c r="Q31">
        <f>G31*I31</f>
        <v/>
      </c>
      <c r="R31">
        <f>G31*J31</f>
        <v/>
      </c>
      <c r="S31">
        <f>G31*K31</f>
        <v/>
      </c>
      <c r="T31">
        <f>G31*L31</f>
        <v/>
      </c>
      <c r="U31">
        <f>G31*M31</f>
        <v/>
      </c>
      <c r="V31">
        <f>G31*N31</f>
        <v/>
      </c>
      <c r="W31">
        <f>G31*O31</f>
        <v/>
      </c>
      <c r="X31">
        <f>SUM(P31:W31)</f>
        <v/>
      </c>
      <c r="Y31">
        <f>AVERAGE(H31:O31)</f>
        <v/>
      </c>
      <c r="Z31">
        <f>X31-G31*8</f>
        <v/>
      </c>
    </row>
    <row r="32">
      <c r="A32" t="inlineStr">
        <is>
          <t>Thor</t>
        </is>
      </c>
      <c r="B32" t="inlineStr">
        <is>
          <t>Product Manager</t>
        </is>
      </c>
      <c r="C32" t="inlineStr">
        <is>
          <t>ART</t>
        </is>
      </c>
      <c r="D32" t="inlineStr">
        <is>
          <t>ART 7</t>
        </is>
      </c>
      <c r="E32" t="inlineStr">
        <is>
          <t>Team Alpha</t>
        </is>
      </c>
      <c r="F32" t="inlineStr">
        <is>
          <t>Avengers Assembly</t>
        </is>
      </c>
      <c r="G32" t="n">
        <v>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>
        <f>G32*H32</f>
        <v/>
      </c>
      <c r="Q32">
        <f>G32*I32</f>
        <v/>
      </c>
      <c r="R32">
        <f>G32*J32</f>
        <v/>
      </c>
      <c r="S32">
        <f>G32*K32</f>
        <v/>
      </c>
      <c r="T32">
        <f>G32*L32</f>
        <v/>
      </c>
      <c r="U32">
        <f>G32*M32</f>
        <v/>
      </c>
      <c r="V32">
        <f>G32*N32</f>
        <v/>
      </c>
      <c r="W32">
        <f>G32*O32</f>
        <v/>
      </c>
      <c r="X32">
        <f>SUM(P32:W32)</f>
        <v/>
      </c>
      <c r="Y32">
        <f>AVERAGE(H32:O32)</f>
        <v/>
      </c>
      <c r="Z32">
        <f>X32-G32*8</f>
        <v/>
      </c>
    </row>
    <row r="33">
      <c r="A33" t="inlineStr">
        <is>
          <t>Hulk</t>
        </is>
      </c>
      <c r="B33" t="inlineStr">
        <is>
          <t>Release Train Engineer</t>
        </is>
      </c>
      <c r="C33" t="inlineStr">
        <is>
          <t>ART</t>
        </is>
      </c>
      <c r="D33" t="inlineStr">
        <is>
          <t>ART 7</t>
        </is>
      </c>
      <c r="E33" t="inlineStr">
        <is>
          <t>Team Alpha</t>
        </is>
      </c>
      <c r="F33" t="inlineStr">
        <is>
          <t>Avengers Assembly</t>
        </is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>
        <f>G33*H33</f>
        <v/>
      </c>
      <c r="Q33">
        <f>G33*I33</f>
        <v/>
      </c>
      <c r="R33">
        <f>G33*J33</f>
        <v/>
      </c>
      <c r="S33">
        <f>G33*K33</f>
        <v/>
      </c>
      <c r="T33">
        <f>G33*L33</f>
        <v/>
      </c>
      <c r="U33">
        <f>G33*M33</f>
        <v/>
      </c>
      <c r="V33">
        <f>G33*N33</f>
        <v/>
      </c>
      <c r="W33">
        <f>G33*O33</f>
        <v/>
      </c>
      <c r="X33">
        <f>SUM(P33:W33)</f>
        <v/>
      </c>
      <c r="Y33">
        <f>AVERAGE(H33:O33)</f>
        <v/>
      </c>
      <c r="Z33">
        <f>X33-G33*8</f>
        <v/>
      </c>
    </row>
    <row r="34">
      <c r="A34" t="inlineStr">
        <is>
          <t>Ant-Man</t>
        </is>
      </c>
      <c r="B34" t="inlineStr">
        <is>
          <t>System Architect</t>
        </is>
      </c>
      <c r="C34" t="inlineStr">
        <is>
          <t>ART</t>
        </is>
      </c>
      <c r="D34" t="inlineStr">
        <is>
          <t>ART 7</t>
        </is>
      </c>
      <c r="E34" t="inlineStr">
        <is>
          <t>Team Alpha</t>
        </is>
      </c>
      <c r="F34" t="inlineStr">
        <is>
          <t>Avengers Assembly</t>
        </is>
      </c>
      <c r="G34" t="n">
        <v>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>
        <f>G34*H34</f>
        <v/>
      </c>
      <c r="Q34">
        <f>G34*I34</f>
        <v/>
      </c>
      <c r="R34">
        <f>G34*J34</f>
        <v/>
      </c>
      <c r="S34">
        <f>G34*K34</f>
        <v/>
      </c>
      <c r="T34">
        <f>G34*L34</f>
        <v/>
      </c>
      <c r="U34">
        <f>G34*M34</f>
        <v/>
      </c>
      <c r="V34">
        <f>G34*N34</f>
        <v/>
      </c>
      <c r="W34">
        <f>G34*O34</f>
        <v/>
      </c>
      <c r="X34">
        <f>SUM(P34:W34)</f>
        <v/>
      </c>
      <c r="Y34">
        <f>AVERAGE(H34:O34)</f>
        <v/>
      </c>
      <c r="Z34">
        <f>X34-G34*8</f>
        <v/>
      </c>
    </row>
    <row r="35">
      <c r="A35" t="inlineStr">
        <is>
          <t>Flash</t>
        </is>
      </c>
      <c r="B35" t="inlineStr">
        <is>
          <t>Scrum Master</t>
        </is>
      </c>
      <c r="C35" t="inlineStr">
        <is>
          <t>ART</t>
        </is>
      </c>
      <c r="D35" t="inlineStr">
        <is>
          <t>ART 7</t>
        </is>
      </c>
      <c r="E35" t="inlineStr">
        <is>
          <t>Team Beta</t>
        </is>
      </c>
      <c r="F35" t="inlineStr">
        <is>
          <t>Justice League Validation</t>
        </is>
      </c>
      <c r="G35" t="n">
        <v>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>
        <f>G35*H35</f>
        <v/>
      </c>
      <c r="Q35">
        <f>G35*I35</f>
        <v/>
      </c>
      <c r="R35">
        <f>G35*J35</f>
        <v/>
      </c>
      <c r="S35">
        <f>G35*K35</f>
        <v/>
      </c>
      <c r="T35">
        <f>G35*L35</f>
        <v/>
      </c>
      <c r="U35">
        <f>G35*M35</f>
        <v/>
      </c>
      <c r="V35">
        <f>G35*N35</f>
        <v/>
      </c>
      <c r="W35">
        <f>G35*O35</f>
        <v/>
      </c>
      <c r="X35">
        <f>SUM(P35:W35)</f>
        <v/>
      </c>
      <c r="Y35">
        <f>AVERAGE(H35:O35)</f>
        <v/>
      </c>
      <c r="Z35">
        <f>X35-G35*8</f>
        <v/>
      </c>
    </row>
    <row r="36">
      <c r="A36" t="inlineStr">
        <is>
          <t>Aquaman</t>
        </is>
      </c>
      <c r="B36" t="inlineStr">
        <is>
          <t>Scrum Master</t>
        </is>
      </c>
      <c r="C36" t="inlineStr">
        <is>
          <t>ART</t>
        </is>
      </c>
      <c r="D36" t="inlineStr">
        <is>
          <t>ART 7</t>
        </is>
      </c>
      <c r="E36" t="inlineStr">
        <is>
          <t>Team Beta</t>
        </is>
      </c>
      <c r="F36" t="inlineStr">
        <is>
          <t>Justice League Validation</t>
        </is>
      </c>
      <c r="G36" t="n">
        <v>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>
        <f>G36*H36</f>
        <v/>
      </c>
      <c r="Q36">
        <f>G36*I36</f>
        <v/>
      </c>
      <c r="R36">
        <f>G36*J36</f>
        <v/>
      </c>
      <c r="S36">
        <f>G36*K36</f>
        <v/>
      </c>
      <c r="T36">
        <f>G36*L36</f>
        <v/>
      </c>
      <c r="U36">
        <f>G36*M36</f>
        <v/>
      </c>
      <c r="V36">
        <f>G36*N36</f>
        <v/>
      </c>
      <c r="W36">
        <f>G36*O36</f>
        <v/>
      </c>
      <c r="X36">
        <f>SUM(P36:W36)</f>
        <v/>
      </c>
      <c r="Y36">
        <f>AVERAGE(H36:O36)</f>
        <v/>
      </c>
      <c r="Z36">
        <f>X36-G36*8</f>
        <v/>
      </c>
    </row>
    <row r="37">
      <c r="A37" t="inlineStr">
        <is>
          <t>Clint Barton</t>
        </is>
      </c>
      <c r="B37" t="inlineStr">
        <is>
          <t>Ui/Ux Developer</t>
        </is>
      </c>
      <c r="C37" t="inlineStr">
        <is>
          <t>ART</t>
        </is>
      </c>
      <c r="D37" t="inlineStr">
        <is>
          <t>ART 1</t>
        </is>
      </c>
      <c r="E37" t="inlineStr">
        <is>
          <t>Team Beta</t>
        </is>
      </c>
      <c r="F37" t="inlineStr">
        <is>
          <t>Avengers Interface</t>
        </is>
      </c>
      <c r="G37" t="n">
        <v>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>
        <f>G37*H37</f>
        <v/>
      </c>
      <c r="Q37">
        <f>G37*I37</f>
        <v/>
      </c>
      <c r="R37">
        <f>G37*J37</f>
        <v/>
      </c>
      <c r="S37">
        <f>G37*K37</f>
        <v/>
      </c>
      <c r="T37">
        <f>G37*L37</f>
        <v/>
      </c>
      <c r="U37">
        <f>G37*M37</f>
        <v/>
      </c>
      <c r="V37">
        <f>G37*N37</f>
        <v/>
      </c>
      <c r="W37">
        <f>G37*O37</f>
        <v/>
      </c>
      <c r="X37">
        <f>SUM(P37:W37)</f>
        <v/>
      </c>
      <c r="Y37">
        <f>AVERAGE(H37:O37)</f>
        <v/>
      </c>
      <c r="Z37">
        <f>X37-G37*8</f>
        <v/>
      </c>
    </row>
    <row r="38">
      <c r="A38" t="inlineStr">
        <is>
          <t>Dane Whitman</t>
        </is>
      </c>
      <c r="B38" t="inlineStr">
        <is>
          <t>Ui/Ux Developer</t>
        </is>
      </c>
      <c r="C38" t="inlineStr">
        <is>
          <t>ART</t>
        </is>
      </c>
      <c r="D38" t="inlineStr">
        <is>
          <t>ART 1</t>
        </is>
      </c>
      <c r="E38" t="inlineStr">
        <is>
          <t>Team Beta</t>
        </is>
      </c>
      <c r="F38" t="inlineStr">
        <is>
          <t>Avengers Interface</t>
        </is>
      </c>
      <c r="G38" t="n">
        <v>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>
        <f>G38*H38</f>
        <v/>
      </c>
      <c r="Q38">
        <f>G38*I38</f>
        <v/>
      </c>
      <c r="R38">
        <f>G38*J38</f>
        <v/>
      </c>
      <c r="S38">
        <f>G38*K38</f>
        <v/>
      </c>
      <c r="T38">
        <f>G38*L38</f>
        <v/>
      </c>
      <c r="U38">
        <f>G38*M38</f>
        <v/>
      </c>
      <c r="V38">
        <f>G38*N38</f>
        <v/>
      </c>
      <c r="W38">
        <f>G38*O38</f>
        <v/>
      </c>
      <c r="X38">
        <f>SUM(P38:W38)</f>
        <v/>
      </c>
      <c r="Y38">
        <f>AVERAGE(H38:O38)</f>
        <v/>
      </c>
      <c r="Z38">
        <f>X38-G38*8</f>
        <v/>
      </c>
    </row>
    <row r="39">
      <c r="A39" t="inlineStr">
        <is>
          <t>Nebula</t>
        </is>
      </c>
      <c r="B39" t="inlineStr">
        <is>
          <t>Mission Planning Specialist</t>
        </is>
      </c>
      <c r="C39" t="inlineStr">
        <is>
          <t>ART</t>
        </is>
      </c>
      <c r="D39" t="inlineStr">
        <is>
          <t>ART 1</t>
        </is>
      </c>
      <c r="E39" t="inlineStr">
        <is>
          <t>Team Beta</t>
        </is>
      </c>
      <c r="F39" t="inlineStr">
        <is>
          <t>Avengers Interface</t>
        </is>
      </c>
      <c r="G39" t="n">
        <v>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>
        <f>G39*H39</f>
        <v/>
      </c>
      <c r="Q39">
        <f>G39*I39</f>
        <v/>
      </c>
      <c r="R39">
        <f>G39*J39</f>
        <v/>
      </c>
      <c r="S39">
        <f>G39*K39</f>
        <v/>
      </c>
      <c r="T39">
        <f>G39*L39</f>
        <v/>
      </c>
      <c r="U39">
        <f>G39*M39</f>
        <v/>
      </c>
      <c r="V39">
        <f>G39*N39</f>
        <v/>
      </c>
      <c r="W39">
        <f>G39*O39</f>
        <v/>
      </c>
      <c r="X39">
        <f>SUM(P39:W39)</f>
        <v/>
      </c>
      <c r="Y39">
        <f>AVERAGE(H39:O39)</f>
        <v/>
      </c>
      <c r="Z39">
        <f>X39-G39*8</f>
        <v/>
      </c>
    </row>
    <row r="40">
      <c r="A40" t="inlineStr">
        <is>
          <t>Yelena Belova</t>
        </is>
      </c>
      <c r="B40" t="inlineStr">
        <is>
          <t>Mission Planning Specialist</t>
        </is>
      </c>
      <c r="C40" t="inlineStr">
        <is>
          <t>ART</t>
        </is>
      </c>
      <c r="D40" t="inlineStr">
        <is>
          <t>ART 1</t>
        </is>
      </c>
      <c r="E40" t="inlineStr">
        <is>
          <t>Team Beta</t>
        </is>
      </c>
      <c r="F40" t="inlineStr">
        <is>
          <t>Avengers Interface</t>
        </is>
      </c>
      <c r="G40" t="n">
        <v>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>
        <f>G40*H40</f>
        <v/>
      </c>
      <c r="Q40">
        <f>G40*I40</f>
        <v/>
      </c>
      <c r="R40">
        <f>G40*J40</f>
        <v/>
      </c>
      <c r="S40">
        <f>G40*K40</f>
        <v/>
      </c>
      <c r="T40">
        <f>G40*L40</f>
        <v/>
      </c>
      <c r="U40">
        <f>G40*M40</f>
        <v/>
      </c>
      <c r="V40">
        <f>G40*N40</f>
        <v/>
      </c>
      <c r="W40">
        <f>G40*O40</f>
        <v/>
      </c>
      <c r="X40">
        <f>SUM(P40:W40)</f>
        <v/>
      </c>
      <c r="Y40">
        <f>AVERAGE(H40:O40)</f>
        <v/>
      </c>
      <c r="Z40">
        <f>X40-G40*8</f>
        <v/>
      </c>
    </row>
    <row r="41">
      <c r="A41" t="inlineStr">
        <is>
          <t>Kate Bishop</t>
        </is>
      </c>
      <c r="B41" t="inlineStr">
        <is>
          <t>Real-Time Analytics</t>
        </is>
      </c>
      <c r="C41" t="inlineStr">
        <is>
          <t>ART</t>
        </is>
      </c>
      <c r="D41" t="inlineStr">
        <is>
          <t>ART 1</t>
        </is>
      </c>
      <c r="E41" t="inlineStr">
        <is>
          <t>Team Beta</t>
        </is>
      </c>
      <c r="F41" t="inlineStr">
        <is>
          <t>Avengers Interface</t>
        </is>
      </c>
      <c r="G41" t="n">
        <v>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>
        <f>G41*H41</f>
        <v/>
      </c>
      <c r="Q41">
        <f>G41*I41</f>
        <v/>
      </c>
      <c r="R41">
        <f>G41*J41</f>
        <v/>
      </c>
      <c r="S41">
        <f>G41*K41</f>
        <v/>
      </c>
      <c r="T41">
        <f>G41*L41</f>
        <v/>
      </c>
      <c r="U41">
        <f>G41*M41</f>
        <v/>
      </c>
      <c r="V41">
        <f>G41*N41</f>
        <v/>
      </c>
      <c r="W41">
        <f>G41*O41</f>
        <v/>
      </c>
      <c r="X41">
        <f>SUM(P41:W41)</f>
        <v/>
      </c>
      <c r="Y41">
        <f>AVERAGE(H41:O41)</f>
        <v/>
      </c>
      <c r="Z41">
        <f>X41-G41*8</f>
        <v/>
      </c>
    </row>
    <row r="42">
      <c r="A42" t="inlineStr">
        <is>
          <t>Peter Parker</t>
        </is>
      </c>
      <c r="B42" t="inlineStr">
        <is>
          <t>Real-Time Analytics</t>
        </is>
      </c>
      <c r="C42" t="inlineStr">
        <is>
          <t>ART</t>
        </is>
      </c>
      <c r="D42" t="inlineStr">
        <is>
          <t>ART 1</t>
        </is>
      </c>
      <c r="E42" t="inlineStr">
        <is>
          <t>Team Beta</t>
        </is>
      </c>
      <c r="F42" t="inlineStr">
        <is>
          <t>Avengers Interface</t>
        </is>
      </c>
      <c r="G42" t="n">
        <v>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>
        <f>G42*H42</f>
        <v/>
      </c>
      <c r="Q42">
        <f>G42*I42</f>
        <v/>
      </c>
      <c r="R42">
        <f>G42*J42</f>
        <v/>
      </c>
      <c r="S42">
        <f>G42*K42</f>
        <v/>
      </c>
      <c r="T42">
        <f>G42*L42</f>
        <v/>
      </c>
      <c r="U42">
        <f>G42*M42</f>
        <v/>
      </c>
      <c r="V42">
        <f>G42*N42</f>
        <v/>
      </c>
      <c r="W42">
        <f>G42*O42</f>
        <v/>
      </c>
      <c r="X42">
        <f>SUM(P42:W42)</f>
        <v/>
      </c>
      <c r="Y42">
        <f>AVERAGE(H42:O42)</f>
        <v/>
      </c>
      <c r="Z42">
        <f>X42-G42*8</f>
        <v/>
      </c>
    </row>
    <row r="43">
      <c r="A43" t="inlineStr">
        <is>
          <t>Luke Cage</t>
        </is>
      </c>
      <c r="B43" t="inlineStr">
        <is>
          <t>Monitoring System Developer</t>
        </is>
      </c>
      <c r="C43" t="inlineStr">
        <is>
          <t>ART</t>
        </is>
      </c>
      <c r="D43" t="inlineStr">
        <is>
          <t>ART 1</t>
        </is>
      </c>
      <c r="E43" t="inlineStr">
        <is>
          <t>Team Beta</t>
        </is>
      </c>
      <c r="F43" t="inlineStr">
        <is>
          <t>Avengers Interface</t>
        </is>
      </c>
      <c r="G43" t="n">
        <v>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>
        <f>G43*H43</f>
        <v/>
      </c>
      <c r="Q43">
        <f>G43*I43</f>
        <v/>
      </c>
      <c r="R43">
        <f>G43*J43</f>
        <v/>
      </c>
      <c r="S43">
        <f>G43*K43</f>
        <v/>
      </c>
      <c r="T43">
        <f>G43*L43</f>
        <v/>
      </c>
      <c r="U43">
        <f>G43*M43</f>
        <v/>
      </c>
      <c r="V43">
        <f>G43*N43</f>
        <v/>
      </c>
      <c r="W43">
        <f>G43*O43</f>
        <v/>
      </c>
      <c r="X43">
        <f>SUM(P43:W43)</f>
        <v/>
      </c>
      <c r="Y43">
        <f>AVERAGE(H43:O43)</f>
        <v/>
      </c>
      <c r="Z43">
        <f>X43-G43*8</f>
        <v/>
      </c>
    </row>
    <row r="44">
      <c r="A44" t="inlineStr">
        <is>
          <t>Sam Wilson</t>
        </is>
      </c>
      <c r="B44" t="inlineStr">
        <is>
          <t>Monitoring System Developer</t>
        </is>
      </c>
      <c r="C44" t="inlineStr">
        <is>
          <t>ART</t>
        </is>
      </c>
      <c r="D44" t="inlineStr">
        <is>
          <t>ART 1</t>
        </is>
      </c>
      <c r="E44" t="inlineStr">
        <is>
          <t>Team Beta</t>
        </is>
      </c>
      <c r="F44" t="inlineStr">
        <is>
          <t>Avengers Interface</t>
        </is>
      </c>
      <c r="G44" t="n">
        <v>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>
        <f>G44*H44</f>
        <v/>
      </c>
      <c r="Q44">
        <f>G44*I44</f>
        <v/>
      </c>
      <c r="R44">
        <f>G44*J44</f>
        <v/>
      </c>
      <c r="S44">
        <f>G44*K44</f>
        <v/>
      </c>
      <c r="T44">
        <f>G44*L44</f>
        <v/>
      </c>
      <c r="U44">
        <f>G44*M44</f>
        <v/>
      </c>
      <c r="V44">
        <f>G44*N44</f>
        <v/>
      </c>
      <c r="W44">
        <f>G44*O44</f>
        <v/>
      </c>
      <c r="X44">
        <f>SUM(P44:W44)</f>
        <v/>
      </c>
      <c r="Y44">
        <f>AVERAGE(H44:O44)</f>
        <v/>
      </c>
      <c r="Z44">
        <f>X44-G44*8</f>
        <v/>
      </c>
    </row>
    <row r="45">
      <c r="A45" t="inlineStr">
        <is>
          <t>Gamora</t>
        </is>
      </c>
      <c r="B45" t="inlineStr">
        <is>
          <t>Ai/Ml Engineer</t>
        </is>
      </c>
      <c r="C45" t="inlineStr">
        <is>
          <t>ART</t>
        </is>
      </c>
      <c r="D45" t="inlineStr">
        <is>
          <t>ART 2</t>
        </is>
      </c>
      <c r="E45" t="inlineStr">
        <is>
          <t>Team Beta</t>
        </is>
      </c>
      <c r="F45" t="inlineStr">
        <is>
          <t>Fantastic Four Navigation</t>
        </is>
      </c>
      <c r="G45" t="n">
        <v>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>
        <f>G45*H45</f>
        <v/>
      </c>
      <c r="Q45">
        <f>G45*I45</f>
        <v/>
      </c>
      <c r="R45">
        <f>G45*J45</f>
        <v/>
      </c>
      <c r="S45">
        <f>G45*K45</f>
        <v/>
      </c>
      <c r="T45">
        <f>G45*L45</f>
        <v/>
      </c>
      <c r="U45">
        <f>G45*M45</f>
        <v/>
      </c>
      <c r="V45">
        <f>G45*N45</f>
        <v/>
      </c>
      <c r="W45">
        <f>G45*O45</f>
        <v/>
      </c>
      <c r="X45">
        <f>SUM(P45:W45)</f>
        <v/>
      </c>
      <c r="Y45">
        <f>AVERAGE(H45:O45)</f>
        <v/>
      </c>
      <c r="Z45">
        <f>X45-G45*8</f>
        <v/>
      </c>
    </row>
    <row r="46">
      <c r="A46" t="inlineStr">
        <is>
          <t>Monica Rambeau</t>
        </is>
      </c>
      <c r="B46" t="inlineStr">
        <is>
          <t>Ai/Ml Engineer</t>
        </is>
      </c>
      <c r="C46" t="inlineStr">
        <is>
          <t>ART</t>
        </is>
      </c>
      <c r="D46" t="inlineStr">
        <is>
          <t>ART 2</t>
        </is>
      </c>
      <c r="E46" t="inlineStr">
        <is>
          <t>Team Beta</t>
        </is>
      </c>
      <c r="F46" t="inlineStr">
        <is>
          <t>Fantastic Four Navigation</t>
        </is>
      </c>
      <c r="G46" t="n">
        <v>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>
        <f>G46*H46</f>
        <v/>
      </c>
      <c r="Q46">
        <f>G46*I46</f>
        <v/>
      </c>
      <c r="R46">
        <f>G46*J46</f>
        <v/>
      </c>
      <c r="S46">
        <f>G46*K46</f>
        <v/>
      </c>
      <c r="T46">
        <f>G46*L46</f>
        <v/>
      </c>
      <c r="U46">
        <f>G46*M46</f>
        <v/>
      </c>
      <c r="V46">
        <f>G46*N46</f>
        <v/>
      </c>
      <c r="W46">
        <f>G46*O46</f>
        <v/>
      </c>
      <c r="X46">
        <f>SUM(P46:W46)</f>
        <v/>
      </c>
      <c r="Y46">
        <f>AVERAGE(H46:O46)</f>
        <v/>
      </c>
      <c r="Z46">
        <f>X46-G46*8</f>
        <v/>
      </c>
    </row>
    <row r="47">
      <c r="A47" t="inlineStr">
        <is>
          <t>Ben Grimm</t>
        </is>
      </c>
      <c r="B47" t="inlineStr">
        <is>
          <t>Computer Vision Specialist</t>
        </is>
      </c>
      <c r="C47" t="inlineStr">
        <is>
          <t>ART</t>
        </is>
      </c>
      <c r="D47" t="inlineStr">
        <is>
          <t>ART 2</t>
        </is>
      </c>
      <c r="E47" t="inlineStr">
        <is>
          <t>Team Beta</t>
        </is>
      </c>
      <c r="F47" t="inlineStr">
        <is>
          <t>Fantastic Four Navigation</t>
        </is>
      </c>
      <c r="G47" t="n">
        <v>65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>
        <f>G47*H47</f>
        <v/>
      </c>
      <c r="Q47">
        <f>G47*I47</f>
        <v/>
      </c>
      <c r="R47">
        <f>G47*J47</f>
        <v/>
      </c>
      <c r="S47">
        <f>G47*K47</f>
        <v/>
      </c>
      <c r="T47">
        <f>G47*L47</f>
        <v/>
      </c>
      <c r="U47">
        <f>G47*M47</f>
        <v/>
      </c>
      <c r="V47">
        <f>G47*N47</f>
        <v/>
      </c>
      <c r="W47">
        <f>G47*O47</f>
        <v/>
      </c>
      <c r="X47">
        <f>SUM(P47:W47)</f>
        <v/>
      </c>
      <c r="Y47">
        <f>AVERAGE(H47:O47)</f>
        <v/>
      </c>
      <c r="Z47">
        <f>X47-G47*8</f>
        <v/>
      </c>
    </row>
    <row r="48">
      <c r="A48" t="inlineStr">
        <is>
          <t>Maria Hill</t>
        </is>
      </c>
      <c r="B48" t="inlineStr">
        <is>
          <t>Computer Vision Specialist</t>
        </is>
      </c>
      <c r="C48" t="inlineStr">
        <is>
          <t>ART</t>
        </is>
      </c>
      <c r="D48" t="inlineStr">
        <is>
          <t>ART 2</t>
        </is>
      </c>
      <c r="E48" t="inlineStr">
        <is>
          <t>Team Beta</t>
        </is>
      </c>
      <c r="F48" t="inlineStr">
        <is>
          <t>Fantastic Four Navigation</t>
        </is>
      </c>
      <c r="G48" t="n">
        <v>65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>
        <f>G48*H48</f>
        <v/>
      </c>
      <c r="Q48">
        <f>G48*I48</f>
        <v/>
      </c>
      <c r="R48">
        <f>G48*J48</f>
        <v/>
      </c>
      <c r="S48">
        <f>G48*K48</f>
        <v/>
      </c>
      <c r="T48">
        <f>G48*L48</f>
        <v/>
      </c>
      <c r="U48">
        <f>G48*M48</f>
        <v/>
      </c>
      <c r="V48">
        <f>G48*N48</f>
        <v/>
      </c>
      <c r="W48">
        <f>G48*O48</f>
        <v/>
      </c>
      <c r="X48">
        <f>SUM(P48:W48)</f>
        <v/>
      </c>
      <c r="Y48">
        <f>AVERAGE(H48:O48)</f>
        <v/>
      </c>
      <c r="Z48">
        <f>X48-G48*8</f>
        <v/>
      </c>
    </row>
    <row r="49">
      <c r="A49" t="inlineStr">
        <is>
          <t>Matt Murdock</t>
        </is>
      </c>
      <c r="B49" t="inlineStr">
        <is>
          <t>Sensor Integration</t>
        </is>
      </c>
      <c r="C49" t="inlineStr">
        <is>
          <t>ART</t>
        </is>
      </c>
      <c r="D49" t="inlineStr">
        <is>
          <t>ART 2</t>
        </is>
      </c>
      <c r="E49" t="inlineStr">
        <is>
          <t>Team Beta</t>
        </is>
      </c>
      <c r="F49" t="inlineStr">
        <is>
          <t>Fantastic Four Navigation</t>
        </is>
      </c>
      <c r="G49" t="n">
        <v>65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>
        <f>G49*H49</f>
        <v/>
      </c>
      <c r="Q49">
        <f>G49*I49</f>
        <v/>
      </c>
      <c r="R49">
        <f>G49*J49</f>
        <v/>
      </c>
      <c r="S49">
        <f>G49*K49</f>
        <v/>
      </c>
      <c r="T49">
        <f>G49*L49</f>
        <v/>
      </c>
      <c r="U49">
        <f>G49*M49</f>
        <v/>
      </c>
      <c r="V49">
        <f>G49*N49</f>
        <v/>
      </c>
      <c r="W49">
        <f>G49*O49</f>
        <v/>
      </c>
      <c r="X49">
        <f>SUM(P49:W49)</f>
        <v/>
      </c>
      <c r="Y49">
        <f>AVERAGE(H49:O49)</f>
        <v/>
      </c>
      <c r="Z49">
        <f>X49-G49*8</f>
        <v/>
      </c>
    </row>
    <row r="50">
      <c r="A50" t="inlineStr">
        <is>
          <t>Stephen Strange</t>
        </is>
      </c>
      <c r="B50" t="inlineStr">
        <is>
          <t>Sensor Integration</t>
        </is>
      </c>
      <c r="C50" t="inlineStr">
        <is>
          <t>ART</t>
        </is>
      </c>
      <c r="D50" t="inlineStr">
        <is>
          <t>ART 2</t>
        </is>
      </c>
      <c r="E50" t="inlineStr">
        <is>
          <t>Team Beta</t>
        </is>
      </c>
      <c r="F50" t="inlineStr">
        <is>
          <t>Fantastic Four Navigation</t>
        </is>
      </c>
      <c r="G50" t="n">
        <v>65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>
        <f>G50*H50</f>
        <v/>
      </c>
      <c r="Q50">
        <f>G50*I50</f>
        <v/>
      </c>
      <c r="R50">
        <f>G50*J50</f>
        <v/>
      </c>
      <c r="S50">
        <f>G50*K50</f>
        <v/>
      </c>
      <c r="T50">
        <f>G50*L50</f>
        <v/>
      </c>
      <c r="U50">
        <f>G50*M50</f>
        <v/>
      </c>
      <c r="V50">
        <f>G50*N50</f>
        <v/>
      </c>
      <c r="W50">
        <f>G50*O50</f>
        <v/>
      </c>
      <c r="X50">
        <f>SUM(P50:W50)</f>
        <v/>
      </c>
      <c r="Y50">
        <f>AVERAGE(H50:O50)</f>
        <v/>
      </c>
      <c r="Z50">
        <f>X50-G50*8</f>
        <v/>
      </c>
    </row>
    <row r="51">
      <c r="A51" t="inlineStr">
        <is>
          <t>Pepper Potts</t>
        </is>
      </c>
      <c r="B51" t="inlineStr">
        <is>
          <t>Stealth Technology Developer</t>
        </is>
      </c>
      <c r="C51" t="inlineStr">
        <is>
          <t>ART</t>
        </is>
      </c>
      <c r="D51" t="inlineStr">
        <is>
          <t>ART 2</t>
        </is>
      </c>
      <c r="E51" t="inlineStr">
        <is>
          <t>Team Beta</t>
        </is>
      </c>
      <c r="F51" t="inlineStr">
        <is>
          <t>Fantastic Four Navigation</t>
        </is>
      </c>
      <c r="G51" t="n">
        <v>65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>
        <f>G51*H51</f>
        <v/>
      </c>
      <c r="Q51">
        <f>G51*I51</f>
        <v/>
      </c>
      <c r="R51">
        <f>G51*J51</f>
        <v/>
      </c>
      <c r="S51">
        <f>G51*K51</f>
        <v/>
      </c>
      <c r="T51">
        <f>G51*L51</f>
        <v/>
      </c>
      <c r="U51">
        <f>G51*M51</f>
        <v/>
      </c>
      <c r="V51">
        <f>G51*N51</f>
        <v/>
      </c>
      <c r="W51">
        <f>G51*O51</f>
        <v/>
      </c>
      <c r="X51">
        <f>SUM(P51:W51)</f>
        <v/>
      </c>
      <c r="Y51">
        <f>AVERAGE(H51:O51)</f>
        <v/>
      </c>
      <c r="Z51">
        <f>X51-G51*8</f>
        <v/>
      </c>
    </row>
    <row r="52">
      <c r="A52" t="inlineStr">
        <is>
          <t>Carol Danvers</t>
        </is>
      </c>
      <c r="B52" t="inlineStr">
        <is>
          <t>Stealth Technology Developer</t>
        </is>
      </c>
      <c r="C52" t="inlineStr">
        <is>
          <t>ART</t>
        </is>
      </c>
      <c r="D52" t="inlineStr">
        <is>
          <t>ART 2</t>
        </is>
      </c>
      <c r="E52" t="inlineStr">
        <is>
          <t>Team Beta</t>
        </is>
      </c>
      <c r="F52" t="inlineStr">
        <is>
          <t>Fantastic Four Navigation</t>
        </is>
      </c>
      <c r="G52" t="n">
        <v>65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>
        <f>G52*H52</f>
        <v/>
      </c>
      <c r="Q52">
        <f>G52*I52</f>
        <v/>
      </c>
      <c r="R52">
        <f>G52*J52</f>
        <v/>
      </c>
      <c r="S52">
        <f>G52*K52</f>
        <v/>
      </c>
      <c r="T52">
        <f>G52*L52</f>
        <v/>
      </c>
      <c r="U52">
        <f>G52*M52</f>
        <v/>
      </c>
      <c r="V52">
        <f>G52*N52</f>
        <v/>
      </c>
      <c r="W52">
        <f>G52*O52</f>
        <v/>
      </c>
      <c r="X52">
        <f>SUM(P52:W52)</f>
        <v/>
      </c>
      <c r="Y52">
        <f>AVERAGE(H52:O52)</f>
        <v/>
      </c>
      <c r="Z52">
        <f>X52-G52*8</f>
        <v/>
      </c>
    </row>
    <row r="53">
      <c r="A53" t="inlineStr">
        <is>
          <t>Jessica Jones</t>
        </is>
      </c>
      <c r="B53" t="inlineStr">
        <is>
          <t>Mesh Networking</t>
        </is>
      </c>
      <c r="C53" t="inlineStr">
        <is>
          <t>ART</t>
        </is>
      </c>
      <c r="D53" t="inlineStr">
        <is>
          <t>ART 3</t>
        </is>
      </c>
      <c r="E53" t="inlineStr">
        <is>
          <t>Team Beta</t>
        </is>
      </c>
      <c r="F53" t="inlineStr">
        <is>
          <t>Guardians of the Network</t>
        </is>
      </c>
      <c r="G53" t="n">
        <v>65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>
        <f>G53*H53</f>
        <v/>
      </c>
      <c r="Q53">
        <f>G53*I53</f>
        <v/>
      </c>
      <c r="R53">
        <f>G53*J53</f>
        <v/>
      </c>
      <c r="S53">
        <f>G53*K53</f>
        <v/>
      </c>
      <c r="T53">
        <f>G53*L53</f>
        <v/>
      </c>
      <c r="U53">
        <f>G53*M53</f>
        <v/>
      </c>
      <c r="V53">
        <f>G53*N53</f>
        <v/>
      </c>
      <c r="W53">
        <f>G53*O53</f>
        <v/>
      </c>
      <c r="X53">
        <f>SUM(P53:W53)</f>
        <v/>
      </c>
      <c r="Y53">
        <f>AVERAGE(H53:O53)</f>
        <v/>
      </c>
      <c r="Z53">
        <f>X53-G53*8</f>
        <v/>
      </c>
    </row>
    <row r="54">
      <c r="A54" t="inlineStr">
        <is>
          <t>Quake Johnson</t>
        </is>
      </c>
      <c r="B54" t="inlineStr">
        <is>
          <t>Mesh Networking</t>
        </is>
      </c>
      <c r="C54" t="inlineStr">
        <is>
          <t>ART</t>
        </is>
      </c>
      <c r="D54" t="inlineStr">
        <is>
          <t>ART 3</t>
        </is>
      </c>
      <c r="E54" t="inlineStr">
        <is>
          <t>Team Beta</t>
        </is>
      </c>
      <c r="F54" t="inlineStr">
        <is>
          <t>Guardians of the Network</t>
        </is>
      </c>
      <c r="G54" t="n">
        <v>65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>
        <f>G54*H54</f>
        <v/>
      </c>
      <c r="Q54">
        <f>G54*I54</f>
        <v/>
      </c>
      <c r="R54">
        <f>G54*J54</f>
        <v/>
      </c>
      <c r="S54">
        <f>G54*K54</f>
        <v/>
      </c>
      <c r="T54">
        <f>G54*L54</f>
        <v/>
      </c>
      <c r="U54">
        <f>G54*M54</f>
        <v/>
      </c>
      <c r="V54">
        <f>G54*N54</f>
        <v/>
      </c>
      <c r="W54">
        <f>G54*O54</f>
        <v/>
      </c>
      <c r="X54">
        <f>SUM(P54:W54)</f>
        <v/>
      </c>
      <c r="Y54">
        <f>AVERAGE(H54:O54)</f>
        <v/>
      </c>
      <c r="Z54">
        <f>X54-G54*8</f>
        <v/>
      </c>
    </row>
    <row r="55">
      <c r="A55" t="inlineStr">
        <is>
          <t>Bucky Barnes</t>
        </is>
      </c>
      <c r="B55" t="inlineStr">
        <is>
          <t>P2P Protocol Developer</t>
        </is>
      </c>
      <c r="C55" t="inlineStr">
        <is>
          <t>ART</t>
        </is>
      </c>
      <c r="D55" t="inlineStr">
        <is>
          <t>ART 3</t>
        </is>
      </c>
      <c r="E55" t="inlineStr">
        <is>
          <t>Team Beta</t>
        </is>
      </c>
      <c r="F55" t="inlineStr">
        <is>
          <t>Guardians of the Network</t>
        </is>
      </c>
      <c r="G55" t="n">
        <v>65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>
        <f>G55*H55</f>
        <v/>
      </c>
      <c r="Q55">
        <f>G55*I55</f>
        <v/>
      </c>
      <c r="R55">
        <f>G55*J55</f>
        <v/>
      </c>
      <c r="S55">
        <f>G55*K55</f>
        <v/>
      </c>
      <c r="T55">
        <f>G55*L55</f>
        <v/>
      </c>
      <c r="U55">
        <f>G55*M55</f>
        <v/>
      </c>
      <c r="V55">
        <f>G55*N55</f>
        <v/>
      </c>
      <c r="W55">
        <f>G55*O55</f>
        <v/>
      </c>
      <c r="X55">
        <f>SUM(P55:W55)</f>
        <v/>
      </c>
      <c r="Y55">
        <f>AVERAGE(H55:O55)</f>
        <v/>
      </c>
      <c r="Z55">
        <f>X55-G55*8</f>
        <v/>
      </c>
    </row>
    <row r="56">
      <c r="A56" t="inlineStr">
        <is>
          <t>Tony Stark</t>
        </is>
      </c>
      <c r="B56" t="inlineStr">
        <is>
          <t>P2P Protocol Developer</t>
        </is>
      </c>
      <c r="C56" t="inlineStr">
        <is>
          <t>ART</t>
        </is>
      </c>
      <c r="D56" t="inlineStr">
        <is>
          <t>ART 3</t>
        </is>
      </c>
      <c r="E56" t="inlineStr">
        <is>
          <t>Team Beta</t>
        </is>
      </c>
      <c r="F56" t="inlineStr">
        <is>
          <t>Guardians of the Network</t>
        </is>
      </c>
      <c r="G56" t="n">
        <v>65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>
        <f>G56*H56</f>
        <v/>
      </c>
      <c r="Q56">
        <f>G56*I56</f>
        <v/>
      </c>
      <c r="R56">
        <f>G56*J56</f>
        <v/>
      </c>
      <c r="S56">
        <f>G56*K56</f>
        <v/>
      </c>
      <c r="T56">
        <f>G56*L56</f>
        <v/>
      </c>
      <c r="U56">
        <f>G56*M56</f>
        <v/>
      </c>
      <c r="V56">
        <f>G56*N56</f>
        <v/>
      </c>
      <c r="W56">
        <f>G56*O56</f>
        <v/>
      </c>
      <c r="X56">
        <f>SUM(P56:W56)</f>
        <v/>
      </c>
      <c r="Y56">
        <f>AVERAGE(H56:O56)</f>
        <v/>
      </c>
      <c r="Z56">
        <f>X56-G56*8</f>
        <v/>
      </c>
    </row>
    <row r="57">
      <c r="A57" t="inlineStr">
        <is>
          <t>Frank Castle</t>
        </is>
      </c>
      <c r="B57" t="inlineStr">
        <is>
          <t>Long-Range Communication</t>
        </is>
      </c>
      <c r="C57" t="inlineStr">
        <is>
          <t>ART</t>
        </is>
      </c>
      <c r="D57" t="inlineStr">
        <is>
          <t>ART 3</t>
        </is>
      </c>
      <c r="E57" t="inlineStr">
        <is>
          <t>Team Beta</t>
        </is>
      </c>
      <c r="F57" t="inlineStr">
        <is>
          <t>Guardians of the Network</t>
        </is>
      </c>
      <c r="G57" t="n">
        <v>65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>
        <f>G57*H57</f>
        <v/>
      </c>
      <c r="Q57">
        <f>G57*I57</f>
        <v/>
      </c>
      <c r="R57">
        <f>G57*J57</f>
        <v/>
      </c>
      <c r="S57">
        <f>G57*K57</f>
        <v/>
      </c>
      <c r="T57">
        <f>G57*L57</f>
        <v/>
      </c>
      <c r="U57">
        <f>G57*M57</f>
        <v/>
      </c>
      <c r="V57">
        <f>G57*N57</f>
        <v/>
      </c>
      <c r="W57">
        <f>G57*O57</f>
        <v/>
      </c>
      <c r="X57">
        <f>SUM(P57:W57)</f>
        <v/>
      </c>
      <c r="Y57">
        <f>AVERAGE(H57:O57)</f>
        <v/>
      </c>
      <c r="Z57">
        <f>X57-G57*8</f>
        <v/>
      </c>
    </row>
    <row r="58">
      <c r="A58" t="inlineStr">
        <is>
          <t>T'Challa</t>
        </is>
      </c>
      <c r="B58" t="inlineStr">
        <is>
          <t>Long-Range Communication</t>
        </is>
      </c>
      <c r="C58" t="inlineStr">
        <is>
          <t>ART</t>
        </is>
      </c>
      <c r="D58" t="inlineStr">
        <is>
          <t>ART 3</t>
        </is>
      </c>
      <c r="E58" t="inlineStr">
        <is>
          <t>Team Beta</t>
        </is>
      </c>
      <c r="F58" t="inlineStr">
        <is>
          <t>Guardians of the Network</t>
        </is>
      </c>
      <c r="G58" t="n">
        <v>65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>
        <f>G58*H58</f>
        <v/>
      </c>
      <c r="Q58">
        <f>G58*I58</f>
        <v/>
      </c>
      <c r="R58">
        <f>G58*J58</f>
        <v/>
      </c>
      <c r="S58">
        <f>G58*K58</f>
        <v/>
      </c>
      <c r="T58">
        <f>G58*L58</f>
        <v/>
      </c>
      <c r="U58">
        <f>G58*M58</f>
        <v/>
      </c>
      <c r="V58">
        <f>G58*N58</f>
        <v/>
      </c>
      <c r="W58">
        <f>G58*O58</f>
        <v/>
      </c>
      <c r="X58">
        <f>SUM(P58:W58)</f>
        <v/>
      </c>
      <c r="Y58">
        <f>AVERAGE(H58:O58)</f>
        <v/>
      </c>
      <c r="Z58">
        <f>X58-G58*8</f>
        <v/>
      </c>
    </row>
    <row r="59">
      <c r="A59" t="inlineStr">
        <is>
          <t>Steve Rogers</t>
        </is>
      </c>
      <c r="B59" t="inlineStr">
        <is>
          <t>Satellite Integration Specialist</t>
        </is>
      </c>
      <c r="C59" t="inlineStr">
        <is>
          <t>ART</t>
        </is>
      </c>
      <c r="D59" t="inlineStr">
        <is>
          <t>ART 3</t>
        </is>
      </c>
      <c r="E59" t="inlineStr">
        <is>
          <t>Team Beta</t>
        </is>
      </c>
      <c r="F59" t="inlineStr">
        <is>
          <t>Guardians of the Network</t>
        </is>
      </c>
      <c r="G59" t="n">
        <v>65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>
        <f>G59*H59</f>
        <v/>
      </c>
      <c r="Q59">
        <f>G59*I59</f>
        <v/>
      </c>
      <c r="R59">
        <f>G59*J59</f>
        <v/>
      </c>
      <c r="S59">
        <f>G59*K59</f>
        <v/>
      </c>
      <c r="T59">
        <f>G59*L59</f>
        <v/>
      </c>
      <c r="U59">
        <f>G59*M59</f>
        <v/>
      </c>
      <c r="V59">
        <f>G59*N59</f>
        <v/>
      </c>
      <c r="W59">
        <f>G59*O59</f>
        <v/>
      </c>
      <c r="X59">
        <f>SUM(P59:W59)</f>
        <v/>
      </c>
      <c r="Y59">
        <f>AVERAGE(H59:O59)</f>
        <v/>
      </c>
      <c r="Z59">
        <f>X59-G59*8</f>
        <v/>
      </c>
    </row>
    <row r="60">
      <c r="A60" t="inlineStr">
        <is>
          <t>Shang-Chi</t>
        </is>
      </c>
      <c r="B60" t="inlineStr">
        <is>
          <t>Satellite Integration Specialist</t>
        </is>
      </c>
      <c r="C60" t="inlineStr">
        <is>
          <t>ART</t>
        </is>
      </c>
      <c r="D60" t="inlineStr">
        <is>
          <t>ART 3</t>
        </is>
      </c>
      <c r="E60" t="inlineStr">
        <is>
          <t>Team Beta</t>
        </is>
      </c>
      <c r="F60" t="inlineStr">
        <is>
          <t>Guardians of the Network</t>
        </is>
      </c>
      <c r="G60" t="n">
        <v>65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>
        <f>G60*H60</f>
        <v/>
      </c>
      <c r="Q60">
        <f>G60*I60</f>
        <v/>
      </c>
      <c r="R60">
        <f>G60*J60</f>
        <v/>
      </c>
      <c r="S60">
        <f>G60*K60</f>
        <v/>
      </c>
      <c r="T60">
        <f>G60*L60</f>
        <v/>
      </c>
      <c r="U60">
        <f>G60*M60</f>
        <v/>
      </c>
      <c r="V60">
        <f>G60*N60</f>
        <v/>
      </c>
      <c r="W60">
        <f>G60*O60</f>
        <v/>
      </c>
      <c r="X60">
        <f>SUM(P60:W60)</f>
        <v/>
      </c>
      <c r="Y60">
        <f>AVERAGE(H60:O60)</f>
        <v/>
      </c>
      <c r="Z60">
        <f>X60-G60*8</f>
        <v/>
      </c>
    </row>
    <row r="61">
      <c r="A61" t="inlineStr">
        <is>
          <t>Rene Ramirez</t>
        </is>
      </c>
      <c r="B61" t="inlineStr">
        <is>
          <t>Ai-Powered Threat Detection</t>
        </is>
      </c>
      <c r="C61" t="inlineStr">
        <is>
          <t>ART</t>
        </is>
      </c>
      <c r="D61" t="inlineStr">
        <is>
          <t>ART 4</t>
        </is>
      </c>
      <c r="E61" t="inlineStr">
        <is>
          <t>Team Beta</t>
        </is>
      </c>
      <c r="F61" t="inlineStr">
        <is>
          <t>Watchmen Intrusion</t>
        </is>
      </c>
      <c r="G61" t="n">
        <v>65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>
        <f>G61*H61</f>
        <v/>
      </c>
      <c r="Q61">
        <f>G61*I61</f>
        <v/>
      </c>
      <c r="R61">
        <f>G61*J61</f>
        <v/>
      </c>
      <c r="S61">
        <f>G61*K61</f>
        <v/>
      </c>
      <c r="T61">
        <f>G61*L61</f>
        <v/>
      </c>
      <c r="U61">
        <f>G61*M61</f>
        <v/>
      </c>
      <c r="V61">
        <f>G61*N61</f>
        <v/>
      </c>
      <c r="W61">
        <f>G61*O61</f>
        <v/>
      </c>
      <c r="X61">
        <f>SUM(P61:W61)</f>
        <v/>
      </c>
      <c r="Y61">
        <f>AVERAGE(H61:O61)</f>
        <v/>
      </c>
      <c r="Z61">
        <f>X61-G61*8</f>
        <v/>
      </c>
    </row>
    <row r="62">
      <c r="A62" t="inlineStr">
        <is>
          <t>Tim Drake</t>
        </is>
      </c>
      <c r="B62" t="inlineStr">
        <is>
          <t>Ai-Powered Threat Detection</t>
        </is>
      </c>
      <c r="C62" t="inlineStr">
        <is>
          <t>ART</t>
        </is>
      </c>
      <c r="D62" t="inlineStr">
        <is>
          <t>ART 4</t>
        </is>
      </c>
      <c r="E62" t="inlineStr">
        <is>
          <t>Team Beta</t>
        </is>
      </c>
      <c r="F62" t="inlineStr">
        <is>
          <t>Watchmen Intrusion</t>
        </is>
      </c>
      <c r="G62" t="n">
        <v>65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>
        <f>G62*H62</f>
        <v/>
      </c>
      <c r="Q62">
        <f>G62*I62</f>
        <v/>
      </c>
      <c r="R62">
        <f>G62*J62</f>
        <v/>
      </c>
      <c r="S62">
        <f>G62*K62</f>
        <v/>
      </c>
      <c r="T62">
        <f>G62*L62</f>
        <v/>
      </c>
      <c r="U62">
        <f>G62*M62</f>
        <v/>
      </c>
      <c r="V62">
        <f>G62*N62</f>
        <v/>
      </c>
      <c r="W62">
        <f>G62*O62</f>
        <v/>
      </c>
      <c r="X62">
        <f>SUM(P62:W62)</f>
        <v/>
      </c>
      <c r="Y62">
        <f>AVERAGE(H62:O62)</f>
        <v/>
      </c>
      <c r="Z62">
        <f>X62-G62*8</f>
        <v/>
      </c>
    </row>
    <row r="63">
      <c r="A63" t="inlineStr">
        <is>
          <t>Helena Bertinelli</t>
        </is>
      </c>
      <c r="B63" t="inlineStr">
        <is>
          <t>Behavioral Analyst Specialist</t>
        </is>
      </c>
      <c r="C63" t="inlineStr">
        <is>
          <t>ART</t>
        </is>
      </c>
      <c r="D63" t="inlineStr">
        <is>
          <t>ART 4</t>
        </is>
      </c>
      <c r="E63" t="inlineStr">
        <is>
          <t>Team Beta</t>
        </is>
      </c>
      <c r="F63" t="inlineStr">
        <is>
          <t>Watchmen Intrusion</t>
        </is>
      </c>
      <c r="G63" t="n">
        <v>65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>
        <f>G63*H63</f>
        <v/>
      </c>
      <c r="Q63">
        <f>G63*I63</f>
        <v/>
      </c>
      <c r="R63">
        <f>G63*J63</f>
        <v/>
      </c>
      <c r="S63">
        <f>G63*K63</f>
        <v/>
      </c>
      <c r="T63">
        <f>G63*L63</f>
        <v/>
      </c>
      <c r="U63">
        <f>G63*M63</f>
        <v/>
      </c>
      <c r="V63">
        <f>G63*N63</f>
        <v/>
      </c>
      <c r="W63">
        <f>G63*O63</f>
        <v/>
      </c>
      <c r="X63">
        <f>SUM(P63:W63)</f>
        <v/>
      </c>
      <c r="Y63">
        <f>AVERAGE(H63:O63)</f>
        <v/>
      </c>
      <c r="Z63">
        <f>X63-G63*8</f>
        <v/>
      </c>
    </row>
    <row r="64">
      <c r="A64" t="inlineStr">
        <is>
          <t>Dinah Lance</t>
        </is>
      </c>
      <c r="B64" t="inlineStr">
        <is>
          <t>Behavioral Analyst Specialist</t>
        </is>
      </c>
      <c r="C64" t="inlineStr">
        <is>
          <t>ART</t>
        </is>
      </c>
      <c r="D64" t="inlineStr">
        <is>
          <t>ART 4</t>
        </is>
      </c>
      <c r="E64" t="inlineStr">
        <is>
          <t>Team Beta</t>
        </is>
      </c>
      <c r="F64" t="inlineStr">
        <is>
          <t>Watchmen Intrusion</t>
        </is>
      </c>
      <c r="G64" t="n">
        <v>65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>
        <f>G64*H64</f>
        <v/>
      </c>
      <c r="Q64">
        <f>G64*I64</f>
        <v/>
      </c>
      <c r="R64">
        <f>G64*J64</f>
        <v/>
      </c>
      <c r="S64">
        <f>G64*K64</f>
        <v/>
      </c>
      <c r="T64">
        <f>G64*L64</f>
        <v/>
      </c>
      <c r="U64">
        <f>G64*M64</f>
        <v/>
      </c>
      <c r="V64">
        <f>G64*N64</f>
        <v/>
      </c>
      <c r="W64">
        <f>G64*O64</f>
        <v/>
      </c>
      <c r="X64">
        <f>SUM(P64:W64)</f>
        <v/>
      </c>
      <c r="Y64">
        <f>AVERAGE(H64:O64)</f>
        <v/>
      </c>
      <c r="Z64">
        <f>X64-G64*8</f>
        <v/>
      </c>
    </row>
    <row r="65">
      <c r="A65" t="inlineStr">
        <is>
          <t>Stephanie Brown</t>
        </is>
      </c>
      <c r="B65" t="inlineStr">
        <is>
          <t>Incident Response</t>
        </is>
      </c>
      <c r="C65" t="inlineStr">
        <is>
          <t>ART</t>
        </is>
      </c>
      <c r="D65" t="inlineStr">
        <is>
          <t>ART 4</t>
        </is>
      </c>
      <c r="E65" t="inlineStr">
        <is>
          <t>Team Beta</t>
        </is>
      </c>
      <c r="F65" t="inlineStr">
        <is>
          <t>Watchmen Intrusion</t>
        </is>
      </c>
      <c r="G65" t="n">
        <v>65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>
        <f>G65*H65</f>
        <v/>
      </c>
      <c r="Q65">
        <f>G65*I65</f>
        <v/>
      </c>
      <c r="R65">
        <f>G65*J65</f>
        <v/>
      </c>
      <c r="S65">
        <f>G65*K65</f>
        <v/>
      </c>
      <c r="T65">
        <f>G65*L65</f>
        <v/>
      </c>
      <c r="U65">
        <f>G65*M65</f>
        <v/>
      </c>
      <c r="V65">
        <f>G65*N65</f>
        <v/>
      </c>
      <c r="W65">
        <f>G65*O65</f>
        <v/>
      </c>
      <c r="X65">
        <f>SUM(P65:W65)</f>
        <v/>
      </c>
      <c r="Y65">
        <f>AVERAGE(H65:O65)</f>
        <v/>
      </c>
      <c r="Z65">
        <f>X65-G65*8</f>
        <v/>
      </c>
    </row>
    <row r="66">
      <c r="A66" t="inlineStr">
        <is>
          <t>Kendra Saunders</t>
        </is>
      </c>
      <c r="B66" t="inlineStr">
        <is>
          <t>Incident Response</t>
        </is>
      </c>
      <c r="C66" t="inlineStr">
        <is>
          <t>ART</t>
        </is>
      </c>
      <c r="D66" t="inlineStr">
        <is>
          <t>ART 4</t>
        </is>
      </c>
      <c r="E66" t="inlineStr">
        <is>
          <t>Team Beta</t>
        </is>
      </c>
      <c r="F66" t="inlineStr">
        <is>
          <t>Watchmen Intrusion</t>
        </is>
      </c>
      <c r="G66" t="n">
        <v>65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>
        <f>G66*H66</f>
        <v/>
      </c>
      <c r="Q66">
        <f>G66*I66</f>
        <v/>
      </c>
      <c r="R66">
        <f>G66*J66</f>
        <v/>
      </c>
      <c r="S66">
        <f>G66*K66</f>
        <v/>
      </c>
      <c r="T66">
        <f>G66*L66</f>
        <v/>
      </c>
      <c r="U66">
        <f>G66*M66</f>
        <v/>
      </c>
      <c r="V66">
        <f>G66*N66</f>
        <v/>
      </c>
      <c r="W66">
        <f>G66*O66</f>
        <v/>
      </c>
      <c r="X66">
        <f>SUM(P66:W66)</f>
        <v/>
      </c>
      <c r="Y66">
        <f>AVERAGE(H66:O66)</f>
        <v/>
      </c>
      <c r="Z66">
        <f>X66-G66*8</f>
        <v/>
      </c>
    </row>
    <row r="67">
      <c r="A67" t="inlineStr">
        <is>
          <t>Mari McCabe</t>
        </is>
      </c>
      <c r="B67" t="inlineStr">
        <is>
          <t>Threat Mitigation Specialist</t>
        </is>
      </c>
      <c r="C67" t="inlineStr">
        <is>
          <t>ART</t>
        </is>
      </c>
      <c r="D67" t="inlineStr">
        <is>
          <t>ART 4</t>
        </is>
      </c>
      <c r="E67" t="inlineStr">
        <is>
          <t>Team Beta</t>
        </is>
      </c>
      <c r="F67" t="inlineStr">
        <is>
          <t>Watchmen Intrusion</t>
        </is>
      </c>
      <c r="G67" t="n">
        <v>65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>
        <f>G67*H67</f>
        <v/>
      </c>
      <c r="Q67">
        <f>G67*I67</f>
        <v/>
      </c>
      <c r="R67">
        <f>G67*J67</f>
        <v/>
      </c>
      <c r="S67">
        <f>G67*K67</f>
        <v/>
      </c>
      <c r="T67">
        <f>G67*L67</f>
        <v/>
      </c>
      <c r="U67">
        <f>G67*M67</f>
        <v/>
      </c>
      <c r="V67">
        <f>G67*N67</f>
        <v/>
      </c>
      <c r="W67">
        <f>G67*O67</f>
        <v/>
      </c>
      <c r="X67">
        <f>SUM(P67:W67)</f>
        <v/>
      </c>
      <c r="Y67">
        <f>AVERAGE(H67:O67)</f>
        <v/>
      </c>
      <c r="Z67">
        <f>X67-G67*8</f>
        <v/>
      </c>
    </row>
    <row r="68">
      <c r="A68" t="inlineStr">
        <is>
          <t>Victor Zsasz</t>
        </is>
      </c>
      <c r="B68" t="inlineStr">
        <is>
          <t>Threat Mitigation Specialist</t>
        </is>
      </c>
      <c r="C68" t="inlineStr">
        <is>
          <t>ART</t>
        </is>
      </c>
      <c r="D68" t="inlineStr">
        <is>
          <t>ART 4</t>
        </is>
      </c>
      <c r="E68" t="inlineStr">
        <is>
          <t>Team Beta</t>
        </is>
      </c>
      <c r="F68" t="inlineStr">
        <is>
          <t>Watchmen Intrusion</t>
        </is>
      </c>
      <c r="G68" t="n">
        <v>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>
        <f>G68*H68</f>
        <v/>
      </c>
      <c r="Q68">
        <f>G68*I68</f>
        <v/>
      </c>
      <c r="R68">
        <f>G68*J68</f>
        <v/>
      </c>
      <c r="S68">
        <f>G68*K68</f>
        <v/>
      </c>
      <c r="T68">
        <f>G68*L68</f>
        <v/>
      </c>
      <c r="U68">
        <f>G68*M68</f>
        <v/>
      </c>
      <c r="V68">
        <f>G68*N68</f>
        <v/>
      </c>
      <c r="W68">
        <f>G68*O68</f>
        <v/>
      </c>
      <c r="X68">
        <f>SUM(P68:W68)</f>
        <v/>
      </c>
      <c r="Y68">
        <f>AVERAGE(H68:O68)</f>
        <v/>
      </c>
      <c r="Z68">
        <f>X68-G68*8</f>
        <v/>
      </c>
    </row>
    <row r="69">
      <c r="A69" t="inlineStr">
        <is>
          <t>Carter Hall</t>
        </is>
      </c>
      <c r="B69" t="inlineStr">
        <is>
          <t>Data Pipeline Engineer</t>
        </is>
      </c>
      <c r="C69" t="inlineStr">
        <is>
          <t>ART</t>
        </is>
      </c>
      <c r="D69" t="inlineStr">
        <is>
          <t>ART 5</t>
        </is>
      </c>
      <c r="E69" t="inlineStr">
        <is>
          <t>Team Beta</t>
        </is>
      </c>
      <c r="F69" t="inlineStr">
        <is>
          <t>Justice League Analytics</t>
        </is>
      </c>
      <c r="G69" t="n">
        <v>65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>
        <f>G69*H69</f>
        <v/>
      </c>
      <c r="Q69">
        <f>G69*I69</f>
        <v/>
      </c>
      <c r="R69">
        <f>G69*J69</f>
        <v/>
      </c>
      <c r="S69">
        <f>G69*K69</f>
        <v/>
      </c>
      <c r="T69">
        <f>G69*L69</f>
        <v/>
      </c>
      <c r="U69">
        <f>G69*M69</f>
        <v/>
      </c>
      <c r="V69">
        <f>G69*N69</f>
        <v/>
      </c>
      <c r="W69">
        <f>G69*O69</f>
        <v/>
      </c>
      <c r="X69">
        <f>SUM(P69:W69)</f>
        <v/>
      </c>
      <c r="Y69">
        <f>AVERAGE(H69:O69)</f>
        <v/>
      </c>
      <c r="Z69">
        <f>X69-G69*8</f>
        <v/>
      </c>
    </row>
    <row r="70">
      <c r="A70" t="inlineStr">
        <is>
          <t>John Stewart</t>
        </is>
      </c>
      <c r="B70" t="inlineStr">
        <is>
          <t>Data Pipeline Engineer</t>
        </is>
      </c>
      <c r="C70" t="inlineStr">
        <is>
          <t>ART</t>
        </is>
      </c>
      <c r="D70" t="inlineStr">
        <is>
          <t>ART 5</t>
        </is>
      </c>
      <c r="E70" t="inlineStr">
        <is>
          <t>Team Beta</t>
        </is>
      </c>
      <c r="F70" t="inlineStr">
        <is>
          <t>Justice League Analytics</t>
        </is>
      </c>
      <c r="G70" t="n">
        <v>65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>
        <f>G70*H70</f>
        <v/>
      </c>
      <c r="Q70">
        <f>G70*I70</f>
        <v/>
      </c>
      <c r="R70">
        <f>G70*J70</f>
        <v/>
      </c>
      <c r="S70">
        <f>G70*K70</f>
        <v/>
      </c>
      <c r="T70">
        <f>G70*L70</f>
        <v/>
      </c>
      <c r="U70">
        <f>G70*M70</f>
        <v/>
      </c>
      <c r="V70">
        <f>G70*N70</f>
        <v/>
      </c>
      <c r="W70">
        <f>G70*O70</f>
        <v/>
      </c>
      <c r="X70">
        <f>SUM(P70:W70)</f>
        <v/>
      </c>
      <c r="Y70">
        <f>AVERAGE(H70:O70)</f>
        <v/>
      </c>
      <c r="Z70">
        <f>X70-G70*8</f>
        <v/>
      </c>
    </row>
    <row r="71">
      <c r="A71" t="inlineStr">
        <is>
          <t>Zatanna Zatara</t>
        </is>
      </c>
      <c r="B71" t="inlineStr">
        <is>
          <t>Etl Specialist</t>
        </is>
      </c>
      <c r="C71" t="inlineStr">
        <is>
          <t>ART</t>
        </is>
      </c>
      <c r="D71" t="inlineStr">
        <is>
          <t>ART 5</t>
        </is>
      </c>
      <c r="E71" t="inlineStr">
        <is>
          <t>Team Beta</t>
        </is>
      </c>
      <c r="F71" t="inlineStr">
        <is>
          <t>Justice League Analytics</t>
        </is>
      </c>
      <c r="G71" t="n">
        <v>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>
        <f>G71*H71</f>
        <v/>
      </c>
      <c r="Q71">
        <f>G71*I71</f>
        <v/>
      </c>
      <c r="R71">
        <f>G71*J71</f>
        <v/>
      </c>
      <c r="S71">
        <f>G71*K71</f>
        <v/>
      </c>
      <c r="T71">
        <f>G71*L71</f>
        <v/>
      </c>
      <c r="U71">
        <f>G71*M71</f>
        <v/>
      </c>
      <c r="V71">
        <f>G71*N71</f>
        <v/>
      </c>
      <c r="W71">
        <f>G71*O71</f>
        <v/>
      </c>
      <c r="X71">
        <f>SUM(P71:W71)</f>
        <v/>
      </c>
      <c r="Y71">
        <f>AVERAGE(H71:O71)</f>
        <v/>
      </c>
      <c r="Z71">
        <f>X71-G71*8</f>
        <v/>
      </c>
    </row>
    <row r="72">
      <c r="A72" t="inlineStr">
        <is>
          <t>Kaldur'ahm</t>
        </is>
      </c>
      <c r="B72" t="inlineStr">
        <is>
          <t>Etl Specialist</t>
        </is>
      </c>
      <c r="C72" t="inlineStr">
        <is>
          <t>ART</t>
        </is>
      </c>
      <c r="D72" t="inlineStr">
        <is>
          <t>ART 5</t>
        </is>
      </c>
      <c r="E72" t="inlineStr">
        <is>
          <t>Team Beta</t>
        </is>
      </c>
      <c r="F72" t="inlineStr">
        <is>
          <t>Justice League Analytics</t>
        </is>
      </c>
      <c r="G72" t="n">
        <v>65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>
        <f>G72*H72</f>
        <v/>
      </c>
      <c r="Q72">
        <f>G72*I72</f>
        <v/>
      </c>
      <c r="R72">
        <f>G72*J72</f>
        <v/>
      </c>
      <c r="S72">
        <f>G72*K72</f>
        <v/>
      </c>
      <c r="T72">
        <f>G72*L72</f>
        <v/>
      </c>
      <c r="U72">
        <f>G72*M72</f>
        <v/>
      </c>
      <c r="V72">
        <f>G72*N72</f>
        <v/>
      </c>
      <c r="W72">
        <f>G72*O72</f>
        <v/>
      </c>
      <c r="X72">
        <f>SUM(P72:W72)</f>
        <v/>
      </c>
      <c r="Y72">
        <f>AVERAGE(H72:O72)</f>
        <v/>
      </c>
      <c r="Z72">
        <f>X72-G72*8</f>
        <v/>
      </c>
    </row>
    <row r="73">
      <c r="A73" t="inlineStr">
        <is>
          <t>Ryan Choi</t>
        </is>
      </c>
      <c r="B73" t="inlineStr">
        <is>
          <t>Business Intelligence</t>
        </is>
      </c>
      <c r="C73" t="inlineStr">
        <is>
          <t>ART</t>
        </is>
      </c>
      <c r="D73" t="inlineStr">
        <is>
          <t>ART 5</t>
        </is>
      </c>
      <c r="E73" t="inlineStr">
        <is>
          <t>Team Beta</t>
        </is>
      </c>
      <c r="F73" t="inlineStr">
        <is>
          <t>Justice League Analytics</t>
        </is>
      </c>
      <c r="G73" t="n">
        <v>65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>
        <f>G73*H73</f>
        <v/>
      </c>
      <c r="Q73">
        <f>G73*I73</f>
        <v/>
      </c>
      <c r="R73">
        <f>G73*J73</f>
        <v/>
      </c>
      <c r="S73">
        <f>G73*K73</f>
        <v/>
      </c>
      <c r="T73">
        <f>G73*L73</f>
        <v/>
      </c>
      <c r="U73">
        <f>G73*M73</f>
        <v/>
      </c>
      <c r="V73">
        <f>G73*N73</f>
        <v/>
      </c>
      <c r="W73">
        <f>G73*O73</f>
        <v/>
      </c>
      <c r="X73">
        <f>SUM(P73:W73)</f>
        <v/>
      </c>
      <c r="Y73">
        <f>AVERAGE(H73:O73)</f>
        <v/>
      </c>
      <c r="Z73">
        <f>X73-G73*8</f>
        <v/>
      </c>
    </row>
    <row r="74">
      <c r="A74" t="inlineStr">
        <is>
          <t>Donna Troy</t>
        </is>
      </c>
      <c r="B74" t="inlineStr">
        <is>
          <t>Business Intelligence</t>
        </is>
      </c>
      <c r="C74" t="inlineStr">
        <is>
          <t>ART</t>
        </is>
      </c>
      <c r="D74" t="inlineStr">
        <is>
          <t>ART 5</t>
        </is>
      </c>
      <c r="E74" t="inlineStr">
        <is>
          <t>Team Beta</t>
        </is>
      </c>
      <c r="F74" t="inlineStr">
        <is>
          <t>Justice League Analytics</t>
        </is>
      </c>
      <c r="G74" t="n">
        <v>65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>
        <f>G74*H74</f>
        <v/>
      </c>
      <c r="Q74">
        <f>G74*I74</f>
        <v/>
      </c>
      <c r="R74">
        <f>G74*J74</f>
        <v/>
      </c>
      <c r="S74">
        <f>G74*K74</f>
        <v/>
      </c>
      <c r="T74">
        <f>G74*L74</f>
        <v/>
      </c>
      <c r="U74">
        <f>G74*M74</f>
        <v/>
      </c>
      <c r="V74">
        <f>G74*N74</f>
        <v/>
      </c>
      <c r="W74">
        <f>G74*O74</f>
        <v/>
      </c>
      <c r="X74">
        <f>SUM(P74:W74)</f>
        <v/>
      </c>
      <c r="Y74">
        <f>AVERAGE(H74:O74)</f>
        <v/>
      </c>
      <c r="Z74">
        <f>X74-G74*8</f>
        <v/>
      </c>
    </row>
    <row r="75">
      <c r="A75" t="inlineStr">
        <is>
          <t>Eobard Thawne</t>
        </is>
      </c>
      <c r="B75" t="inlineStr">
        <is>
          <t>Data Visualization Specialist</t>
        </is>
      </c>
      <c r="C75" t="inlineStr">
        <is>
          <t>ART</t>
        </is>
      </c>
      <c r="D75" t="inlineStr">
        <is>
          <t>ART 5</t>
        </is>
      </c>
      <c r="E75" t="inlineStr">
        <is>
          <t>Team Beta</t>
        </is>
      </c>
      <c r="F75" t="inlineStr">
        <is>
          <t>Justice League Analytics</t>
        </is>
      </c>
      <c r="G75" t="n">
        <v>65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>
        <f>G75*H75</f>
        <v/>
      </c>
      <c r="Q75">
        <f>G75*I75</f>
        <v/>
      </c>
      <c r="R75">
        <f>G75*J75</f>
        <v/>
      </c>
      <c r="S75">
        <f>G75*K75</f>
        <v/>
      </c>
      <c r="T75">
        <f>G75*L75</f>
        <v/>
      </c>
      <c r="U75">
        <f>G75*M75</f>
        <v/>
      </c>
      <c r="V75">
        <f>G75*N75</f>
        <v/>
      </c>
      <c r="W75">
        <f>G75*O75</f>
        <v/>
      </c>
      <c r="X75">
        <f>SUM(P75:W75)</f>
        <v/>
      </c>
      <c r="Y75">
        <f>AVERAGE(H75:O75)</f>
        <v/>
      </c>
      <c r="Z75">
        <f>X75-G75*8</f>
        <v/>
      </c>
    </row>
    <row r="76">
      <c r="A76" t="inlineStr">
        <is>
          <t>Barbara Gordon</t>
        </is>
      </c>
      <c r="B76" t="inlineStr">
        <is>
          <t>Data Visualization Specialist</t>
        </is>
      </c>
      <c r="C76" t="inlineStr">
        <is>
          <t>ART</t>
        </is>
      </c>
      <c r="D76" t="inlineStr">
        <is>
          <t>ART 5</t>
        </is>
      </c>
      <c r="E76" t="inlineStr">
        <is>
          <t>Team Beta</t>
        </is>
      </c>
      <c r="F76" t="inlineStr">
        <is>
          <t>Justice League Analytics</t>
        </is>
      </c>
      <c r="G76" t="n">
        <v>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>
        <f>G76*H76</f>
        <v/>
      </c>
      <c r="Q76">
        <f>G76*I76</f>
        <v/>
      </c>
      <c r="R76">
        <f>G76*J76</f>
        <v/>
      </c>
      <c r="S76">
        <f>G76*K76</f>
        <v/>
      </c>
      <c r="T76">
        <f>G76*L76</f>
        <v/>
      </c>
      <c r="U76">
        <f>G76*M76</f>
        <v/>
      </c>
      <c r="V76">
        <f>G76*N76</f>
        <v/>
      </c>
      <c r="W76">
        <f>G76*O76</f>
        <v/>
      </c>
      <c r="X76">
        <f>SUM(P76:W76)</f>
        <v/>
      </c>
      <c r="Y76">
        <f>AVERAGE(H76:O76)</f>
        <v/>
      </c>
      <c r="Z76">
        <f>X76-G76*8</f>
        <v/>
      </c>
    </row>
    <row r="77">
      <c r="A77" t="inlineStr">
        <is>
          <t>Shuri</t>
        </is>
      </c>
      <c r="B77" t="inlineStr">
        <is>
          <t>Machine Learning Engineer</t>
        </is>
      </c>
      <c r="C77" t="inlineStr">
        <is>
          <t>ART</t>
        </is>
      </c>
      <c r="D77" t="inlineStr">
        <is>
          <t>ART 6</t>
        </is>
      </c>
      <c r="E77" t="inlineStr">
        <is>
          <t>Team Beta</t>
        </is>
      </c>
      <c r="F77" t="inlineStr">
        <is>
          <t>Fantastic Four Intelligence</t>
        </is>
      </c>
      <c r="G77" t="n">
        <v>65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>
        <f>G77*H77</f>
        <v/>
      </c>
      <c r="Q77">
        <f>G77*I77</f>
        <v/>
      </c>
      <c r="R77">
        <f>G77*J77</f>
        <v/>
      </c>
      <c r="S77">
        <f>G77*K77</f>
        <v/>
      </c>
      <c r="T77">
        <f>G77*L77</f>
        <v/>
      </c>
      <c r="U77">
        <f>G77*M77</f>
        <v/>
      </c>
      <c r="V77">
        <f>G77*N77</f>
        <v/>
      </c>
      <c r="W77">
        <f>G77*O77</f>
        <v/>
      </c>
      <c r="X77">
        <f>SUM(P77:W77)</f>
        <v/>
      </c>
      <c r="Y77">
        <f>AVERAGE(H77:O77)</f>
        <v/>
      </c>
      <c r="Z77">
        <f>X77-G77*8</f>
        <v/>
      </c>
    </row>
    <row r="78">
      <c r="A78" t="inlineStr">
        <is>
          <t>Danny Rand</t>
        </is>
      </c>
      <c r="B78" t="inlineStr">
        <is>
          <t>Machine Learning Engineer</t>
        </is>
      </c>
      <c r="C78" t="inlineStr">
        <is>
          <t>ART</t>
        </is>
      </c>
      <c r="D78" t="inlineStr">
        <is>
          <t>ART 6</t>
        </is>
      </c>
      <c r="E78" t="inlineStr">
        <is>
          <t>Team Beta</t>
        </is>
      </c>
      <c r="F78" t="inlineStr">
        <is>
          <t>Fantastic Four Intelligence</t>
        </is>
      </c>
      <c r="G78" t="n">
        <v>65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>
        <f>G78*H78</f>
        <v/>
      </c>
      <c r="Q78">
        <f>G78*I78</f>
        <v/>
      </c>
      <c r="R78">
        <f>G78*J78</f>
        <v/>
      </c>
      <c r="S78">
        <f>G78*K78</f>
        <v/>
      </c>
      <c r="T78">
        <f>G78*L78</f>
        <v/>
      </c>
      <c r="U78">
        <f>G78*M78</f>
        <v/>
      </c>
      <c r="V78">
        <f>G78*N78</f>
        <v/>
      </c>
      <c r="W78">
        <f>G78*O78</f>
        <v/>
      </c>
      <c r="X78">
        <f>SUM(P78:W78)</f>
        <v/>
      </c>
      <c r="Y78">
        <f>AVERAGE(H78:O78)</f>
        <v/>
      </c>
      <c r="Z78">
        <f>X78-G78*8</f>
        <v/>
      </c>
    </row>
    <row r="79">
      <c r="A79" t="inlineStr">
        <is>
          <t>Johnny Storm</t>
        </is>
      </c>
      <c r="B79" t="inlineStr">
        <is>
          <t>Algorithm Specialist</t>
        </is>
      </c>
      <c r="C79" t="inlineStr">
        <is>
          <t>ART</t>
        </is>
      </c>
      <c r="D79" t="inlineStr">
        <is>
          <t>ART 6</t>
        </is>
      </c>
      <c r="E79" t="inlineStr">
        <is>
          <t>Team Beta</t>
        </is>
      </c>
      <c r="F79" t="inlineStr">
        <is>
          <t>Fantastic Four Intelligence</t>
        </is>
      </c>
      <c r="G79" t="n">
        <v>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>
        <f>G79*H79</f>
        <v/>
      </c>
      <c r="Q79">
        <f>G79*I79</f>
        <v/>
      </c>
      <c r="R79">
        <f>G79*J79</f>
        <v/>
      </c>
      <c r="S79">
        <f>G79*K79</f>
        <v/>
      </c>
      <c r="T79">
        <f>G79*L79</f>
        <v/>
      </c>
      <c r="U79">
        <f>G79*M79</f>
        <v/>
      </c>
      <c r="V79">
        <f>G79*N79</f>
        <v/>
      </c>
      <c r="W79">
        <f>G79*O79</f>
        <v/>
      </c>
      <c r="X79">
        <f>SUM(P79:W79)</f>
        <v/>
      </c>
      <c r="Y79">
        <f>AVERAGE(H79:O79)</f>
        <v/>
      </c>
      <c r="Z79">
        <f>X79-G79*8</f>
        <v/>
      </c>
    </row>
    <row r="80">
      <c r="A80" t="inlineStr">
        <is>
          <t>Bruce Banner</t>
        </is>
      </c>
      <c r="B80" t="inlineStr">
        <is>
          <t>Algorithm Specialist</t>
        </is>
      </c>
      <c r="C80" t="inlineStr">
        <is>
          <t>ART</t>
        </is>
      </c>
      <c r="D80" t="inlineStr">
        <is>
          <t>ART 6</t>
        </is>
      </c>
      <c r="E80" t="inlineStr">
        <is>
          <t>Team Beta</t>
        </is>
      </c>
      <c r="F80" t="inlineStr">
        <is>
          <t>Fantastic Four Intelligence</t>
        </is>
      </c>
      <c r="G80" t="n">
        <v>65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>
        <f>G80*H80</f>
        <v/>
      </c>
      <c r="Q80">
        <f>G80*I80</f>
        <v/>
      </c>
      <c r="R80">
        <f>G80*J80</f>
        <v/>
      </c>
      <c r="S80">
        <f>G80*K80</f>
        <v/>
      </c>
      <c r="T80">
        <f>G80*L80</f>
        <v/>
      </c>
      <c r="U80">
        <f>G80*M80</f>
        <v/>
      </c>
      <c r="V80">
        <f>G80*N80</f>
        <v/>
      </c>
      <c r="W80">
        <f>G80*O80</f>
        <v/>
      </c>
      <c r="X80">
        <f>SUM(P80:W80)</f>
        <v/>
      </c>
      <c r="Y80">
        <f>AVERAGE(H80:O80)</f>
        <v/>
      </c>
      <c r="Z80">
        <f>X80-G80*8</f>
        <v/>
      </c>
    </row>
    <row r="81">
      <c r="A81" t="inlineStr">
        <is>
          <t>Groot</t>
        </is>
      </c>
      <c r="B81" t="inlineStr">
        <is>
          <t>Swarm Behavior Specialist</t>
        </is>
      </c>
      <c r="C81" t="inlineStr">
        <is>
          <t>ART</t>
        </is>
      </c>
      <c r="D81" t="inlineStr">
        <is>
          <t>ART 6</t>
        </is>
      </c>
      <c r="E81" t="inlineStr">
        <is>
          <t>Team Beta</t>
        </is>
      </c>
      <c r="F81" t="inlineStr">
        <is>
          <t>Fantastic Four Intelligence</t>
        </is>
      </c>
      <c r="G81" t="n">
        <v>65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>
        <f>G81*H81</f>
        <v/>
      </c>
      <c r="Q81">
        <f>G81*I81</f>
        <v/>
      </c>
      <c r="R81">
        <f>G81*J81</f>
        <v/>
      </c>
      <c r="S81">
        <f>G81*K81</f>
        <v/>
      </c>
      <c r="T81">
        <f>G81*L81</f>
        <v/>
      </c>
      <c r="U81">
        <f>G81*M81</f>
        <v/>
      </c>
      <c r="V81">
        <f>G81*N81</f>
        <v/>
      </c>
      <c r="W81">
        <f>G81*O81</f>
        <v/>
      </c>
      <c r="X81">
        <f>SUM(P81:W81)</f>
        <v/>
      </c>
      <c r="Y81">
        <f>AVERAGE(H81:O81)</f>
        <v/>
      </c>
      <c r="Z81">
        <f>X81-G81*8</f>
        <v/>
      </c>
    </row>
    <row r="82">
      <c r="A82" t="inlineStr">
        <is>
          <t>Okoye</t>
        </is>
      </c>
      <c r="B82" t="inlineStr">
        <is>
          <t>Swarm Behavior Specialist</t>
        </is>
      </c>
      <c r="C82" t="inlineStr">
        <is>
          <t>ART</t>
        </is>
      </c>
      <c r="D82" t="inlineStr">
        <is>
          <t>ART 6</t>
        </is>
      </c>
      <c r="E82" t="inlineStr">
        <is>
          <t>Team Beta</t>
        </is>
      </c>
      <c r="F82" t="inlineStr">
        <is>
          <t>Fantastic Four Intelligence</t>
        </is>
      </c>
      <c r="G82" t="n">
        <v>65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>
        <f>G82*H82</f>
        <v/>
      </c>
      <c r="Q82">
        <f>G82*I82</f>
        <v/>
      </c>
      <c r="R82">
        <f>G82*J82</f>
        <v/>
      </c>
      <c r="S82">
        <f>G82*K82</f>
        <v/>
      </c>
      <c r="T82">
        <f>G82*L82</f>
        <v/>
      </c>
      <c r="U82">
        <f>G82*M82</f>
        <v/>
      </c>
      <c r="V82">
        <f>G82*N82</f>
        <v/>
      </c>
      <c r="W82">
        <f>G82*O82</f>
        <v/>
      </c>
      <c r="X82">
        <f>SUM(P82:W82)</f>
        <v/>
      </c>
      <c r="Y82">
        <f>AVERAGE(H82:O82)</f>
        <v/>
      </c>
      <c r="Z82">
        <f>X82-G82*8</f>
        <v/>
      </c>
    </row>
    <row r="83">
      <c r="A83" t="inlineStr">
        <is>
          <t>Hank Pym</t>
        </is>
      </c>
      <c r="B83" t="inlineStr">
        <is>
          <t>Formation Control Engineer</t>
        </is>
      </c>
      <c r="C83" t="inlineStr">
        <is>
          <t>ART</t>
        </is>
      </c>
      <c r="D83" t="inlineStr">
        <is>
          <t>ART 6</t>
        </is>
      </c>
      <c r="E83" t="inlineStr">
        <is>
          <t>Team Beta</t>
        </is>
      </c>
      <c r="F83" t="inlineStr">
        <is>
          <t>Fantastic Four Intelligence</t>
        </is>
      </c>
      <c r="G83" t="n">
        <v>65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>
        <f>G83*H83</f>
        <v/>
      </c>
      <c r="Q83">
        <f>G83*I83</f>
        <v/>
      </c>
      <c r="R83">
        <f>G83*J83</f>
        <v/>
      </c>
      <c r="S83">
        <f>G83*K83</f>
        <v/>
      </c>
      <c r="T83">
        <f>G83*L83</f>
        <v/>
      </c>
      <c r="U83">
        <f>G83*M83</f>
        <v/>
      </c>
      <c r="V83">
        <f>G83*N83</f>
        <v/>
      </c>
      <c r="W83">
        <f>G83*O83</f>
        <v/>
      </c>
      <c r="X83">
        <f>SUM(P83:W83)</f>
        <v/>
      </c>
      <c r="Y83">
        <f>AVERAGE(H83:O83)</f>
        <v/>
      </c>
      <c r="Z83">
        <f>X83-G83*8</f>
        <v/>
      </c>
    </row>
    <row r="84">
      <c r="A84" t="inlineStr">
        <is>
          <t>Jennifer Walters</t>
        </is>
      </c>
      <c r="B84" t="inlineStr">
        <is>
          <t>Formation Control Engineer</t>
        </is>
      </c>
      <c r="C84" t="inlineStr">
        <is>
          <t>ART</t>
        </is>
      </c>
      <c r="D84" t="inlineStr">
        <is>
          <t>ART 6</t>
        </is>
      </c>
      <c r="E84" t="inlineStr">
        <is>
          <t>Team Beta</t>
        </is>
      </c>
      <c r="F84" t="inlineStr">
        <is>
          <t>Fantastic Four Intelligence</t>
        </is>
      </c>
      <c r="G84" t="n">
        <v>65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>
        <f>G84*H84</f>
        <v/>
      </c>
      <c r="Q84">
        <f>G84*I84</f>
        <v/>
      </c>
      <c r="R84">
        <f>G84*J84</f>
        <v/>
      </c>
      <c r="S84">
        <f>G84*K84</f>
        <v/>
      </c>
      <c r="T84">
        <f>G84*L84</f>
        <v/>
      </c>
      <c r="U84">
        <f>G84*M84</f>
        <v/>
      </c>
      <c r="V84">
        <f>G84*N84</f>
        <v/>
      </c>
      <c r="W84">
        <f>G84*O84</f>
        <v/>
      </c>
      <c r="X84">
        <f>SUM(P84:W84)</f>
        <v/>
      </c>
      <c r="Y84">
        <f>AVERAGE(H84:O84)</f>
        <v/>
      </c>
      <c r="Z84">
        <f>X84-G84*8</f>
        <v/>
      </c>
    </row>
    <row r="85">
      <c r="A85" t="inlineStr">
        <is>
          <t>Rory Regan</t>
        </is>
      </c>
      <c r="B85" t="inlineStr">
        <is>
          <t>System Integration Engineer</t>
        </is>
      </c>
      <c r="C85" t="inlineStr">
        <is>
          <t>ART</t>
        </is>
      </c>
      <c r="D85" t="inlineStr">
        <is>
          <t>ART 7</t>
        </is>
      </c>
      <c r="E85" t="inlineStr">
        <is>
          <t>Team Beta</t>
        </is>
      </c>
      <c r="F85" t="inlineStr">
        <is>
          <t>Justice League Validation</t>
        </is>
      </c>
      <c r="G85" t="n">
        <v>65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>
        <f>G85*H85</f>
        <v/>
      </c>
      <c r="Q85">
        <f>G85*I85</f>
        <v/>
      </c>
      <c r="R85">
        <f>G85*J85</f>
        <v/>
      </c>
      <c r="S85">
        <f>G85*K85</f>
        <v/>
      </c>
      <c r="T85">
        <f>G85*L85</f>
        <v/>
      </c>
      <c r="U85">
        <f>G85*M85</f>
        <v/>
      </c>
      <c r="V85">
        <f>G85*N85</f>
        <v/>
      </c>
      <c r="W85">
        <f>G85*O85</f>
        <v/>
      </c>
      <c r="X85">
        <f>SUM(P85:W85)</f>
        <v/>
      </c>
      <c r="Y85">
        <f>AVERAGE(H85:O85)</f>
        <v/>
      </c>
      <c r="Z85">
        <f>X85-G85*8</f>
        <v/>
      </c>
    </row>
    <row r="86">
      <c r="A86" t="inlineStr">
        <is>
          <t>Huntress Wayne</t>
        </is>
      </c>
      <c r="B86" t="inlineStr">
        <is>
          <t>System Integration Engineer</t>
        </is>
      </c>
      <c r="C86" t="inlineStr">
        <is>
          <t>ART</t>
        </is>
      </c>
      <c r="D86" t="inlineStr">
        <is>
          <t>ART 7</t>
        </is>
      </c>
      <c r="E86" t="inlineStr">
        <is>
          <t>Team Beta</t>
        </is>
      </c>
      <c r="F86" t="inlineStr">
        <is>
          <t>Justice League Validation</t>
        </is>
      </c>
      <c r="G86" t="n">
        <v>65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>
        <f>G86*H86</f>
        <v/>
      </c>
      <c r="Q86">
        <f>G86*I86</f>
        <v/>
      </c>
      <c r="R86">
        <f>G86*J86</f>
        <v/>
      </c>
      <c r="S86">
        <f>G86*K86</f>
        <v/>
      </c>
      <c r="T86">
        <f>G86*L86</f>
        <v/>
      </c>
      <c r="U86">
        <f>G86*M86</f>
        <v/>
      </c>
      <c r="V86">
        <f>G86*N86</f>
        <v/>
      </c>
      <c r="W86">
        <f>G86*O86</f>
        <v/>
      </c>
      <c r="X86">
        <f>SUM(P86:W86)</f>
        <v/>
      </c>
      <c r="Y86">
        <f>AVERAGE(H86:O86)</f>
        <v/>
      </c>
      <c r="Z86">
        <f>X86-G86*8</f>
        <v/>
      </c>
    </row>
    <row r="87">
      <c r="A87" t="inlineStr">
        <is>
          <t>Oliver Queen</t>
        </is>
      </c>
      <c r="B87" t="inlineStr">
        <is>
          <t>Interface Testing Specialist</t>
        </is>
      </c>
      <c r="C87" t="inlineStr">
        <is>
          <t>ART</t>
        </is>
      </c>
      <c r="D87" t="inlineStr">
        <is>
          <t>ART 7</t>
        </is>
      </c>
      <c r="E87" t="inlineStr">
        <is>
          <t>Team Beta</t>
        </is>
      </c>
      <c r="F87" t="inlineStr">
        <is>
          <t>Justice League Validation</t>
        </is>
      </c>
      <c r="G87" t="n">
        <v>65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>
        <f>G87*H87</f>
        <v/>
      </c>
      <c r="Q87">
        <f>G87*I87</f>
        <v/>
      </c>
      <c r="R87">
        <f>G87*J87</f>
        <v/>
      </c>
      <c r="S87">
        <f>G87*K87</f>
        <v/>
      </c>
      <c r="T87">
        <f>G87*L87</f>
        <v/>
      </c>
      <c r="U87">
        <f>G87*M87</f>
        <v/>
      </c>
      <c r="V87">
        <f>G87*N87</f>
        <v/>
      </c>
      <c r="W87">
        <f>G87*O87</f>
        <v/>
      </c>
      <c r="X87">
        <f>SUM(P87:W87)</f>
        <v/>
      </c>
      <c r="Y87">
        <f>AVERAGE(H87:O87)</f>
        <v/>
      </c>
      <c r="Z87">
        <f>X87-G87*8</f>
        <v/>
      </c>
    </row>
    <row r="88">
      <c r="A88" t="inlineStr">
        <is>
          <t>Ravager Wilson</t>
        </is>
      </c>
      <c r="B88" t="inlineStr">
        <is>
          <t>Interface Testing Specialist</t>
        </is>
      </c>
      <c r="C88" t="inlineStr">
        <is>
          <t>ART</t>
        </is>
      </c>
      <c r="D88" t="inlineStr">
        <is>
          <t>ART 7</t>
        </is>
      </c>
      <c r="E88" t="inlineStr">
        <is>
          <t>Team Beta</t>
        </is>
      </c>
      <c r="F88" t="inlineStr">
        <is>
          <t>Justice League Validation</t>
        </is>
      </c>
      <c r="G88" t="n">
        <v>65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>
        <f>G88*H88</f>
        <v/>
      </c>
      <c r="Q88">
        <f>G88*I88</f>
        <v/>
      </c>
      <c r="R88">
        <f>G88*J88</f>
        <v/>
      </c>
      <c r="S88">
        <f>G88*K88</f>
        <v/>
      </c>
      <c r="T88">
        <f>G88*L88</f>
        <v/>
      </c>
      <c r="U88">
        <f>G88*M88</f>
        <v/>
      </c>
      <c r="V88">
        <f>G88*N88</f>
        <v/>
      </c>
      <c r="W88">
        <f>G88*O88</f>
        <v/>
      </c>
      <c r="X88">
        <f>SUM(P88:W88)</f>
        <v/>
      </c>
      <c r="Y88">
        <f>AVERAGE(H88:O88)</f>
        <v/>
      </c>
      <c r="Z88">
        <f>X88-G88*8</f>
        <v/>
      </c>
    </row>
    <row r="89">
      <c r="A89" t="inlineStr">
        <is>
          <t>Cassandra Cain</t>
        </is>
      </c>
      <c r="B89" t="inlineStr">
        <is>
          <t>End-To-End Testing</t>
        </is>
      </c>
      <c r="C89" t="inlineStr">
        <is>
          <t>ART</t>
        </is>
      </c>
      <c r="D89" t="inlineStr">
        <is>
          <t>ART 7</t>
        </is>
      </c>
      <c r="E89" t="inlineStr">
        <is>
          <t>Team Beta</t>
        </is>
      </c>
      <c r="F89" t="inlineStr">
        <is>
          <t>Justice League Validation</t>
        </is>
      </c>
      <c r="G89" t="n">
        <v>65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>
        <f>G89*H89</f>
        <v/>
      </c>
      <c r="Q89">
        <f>G89*I89</f>
        <v/>
      </c>
      <c r="R89">
        <f>G89*J89</f>
        <v/>
      </c>
      <c r="S89">
        <f>G89*K89</f>
        <v/>
      </c>
      <c r="T89">
        <f>G89*L89</f>
        <v/>
      </c>
      <c r="U89">
        <f>G89*M89</f>
        <v/>
      </c>
      <c r="V89">
        <f>G89*N89</f>
        <v/>
      </c>
      <c r="W89">
        <f>G89*O89</f>
        <v/>
      </c>
      <c r="X89">
        <f>SUM(P89:W89)</f>
        <v/>
      </c>
      <c r="Y89">
        <f>AVERAGE(H89:O89)</f>
        <v/>
      </c>
      <c r="Z89">
        <f>X89-G89*8</f>
        <v/>
      </c>
    </row>
    <row r="90">
      <c r="A90" t="inlineStr">
        <is>
          <t>Kara Zor-El</t>
        </is>
      </c>
      <c r="B90" t="inlineStr">
        <is>
          <t>End-To-End Testing</t>
        </is>
      </c>
      <c r="C90" t="inlineStr">
        <is>
          <t>ART</t>
        </is>
      </c>
      <c r="D90" t="inlineStr">
        <is>
          <t>ART 7</t>
        </is>
      </c>
      <c r="E90" t="inlineStr">
        <is>
          <t>Team Beta</t>
        </is>
      </c>
      <c r="F90" t="inlineStr">
        <is>
          <t>Justice League Validation</t>
        </is>
      </c>
      <c r="G90" t="n">
        <v>65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>
        <f>G90*H90</f>
        <v/>
      </c>
      <c r="Q90">
        <f>G90*I90</f>
        <v/>
      </c>
      <c r="R90">
        <f>G90*J90</f>
        <v/>
      </c>
      <c r="S90">
        <f>G90*K90</f>
        <v/>
      </c>
      <c r="T90">
        <f>G90*L90</f>
        <v/>
      </c>
      <c r="U90">
        <f>G90*M90</f>
        <v/>
      </c>
      <c r="V90">
        <f>G90*N90</f>
        <v/>
      </c>
      <c r="W90">
        <f>G90*O90</f>
        <v/>
      </c>
      <c r="X90">
        <f>SUM(P90:W90)</f>
        <v/>
      </c>
      <c r="Y90">
        <f>AVERAGE(H90:O90)</f>
        <v/>
      </c>
      <c r="Z90">
        <f>X90-G90*8</f>
        <v/>
      </c>
    </row>
    <row r="91">
      <c r="A91" t="inlineStr">
        <is>
          <t>Wally West</t>
        </is>
      </c>
      <c r="B91" t="inlineStr">
        <is>
          <t>Validation Specialist</t>
        </is>
      </c>
      <c r="C91" t="inlineStr">
        <is>
          <t>ART</t>
        </is>
      </c>
      <c r="D91" t="inlineStr">
        <is>
          <t>ART 7</t>
        </is>
      </c>
      <c r="E91" t="inlineStr">
        <is>
          <t>Team Beta</t>
        </is>
      </c>
      <c r="F91" t="inlineStr">
        <is>
          <t>Justice League Validation</t>
        </is>
      </c>
      <c r="G91" t="n">
        <v>65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>
        <f>G91*H91</f>
        <v/>
      </c>
      <c r="Q91">
        <f>G91*I91</f>
        <v/>
      </c>
      <c r="R91">
        <f>G91*J91</f>
        <v/>
      </c>
      <c r="S91">
        <f>G91*K91</f>
        <v/>
      </c>
      <c r="T91">
        <f>G91*L91</f>
        <v/>
      </c>
      <c r="U91">
        <f>G91*M91</f>
        <v/>
      </c>
      <c r="V91">
        <f>G91*N91</f>
        <v/>
      </c>
      <c r="W91">
        <f>G91*O91</f>
        <v/>
      </c>
      <c r="X91">
        <f>SUM(P91:W91)</f>
        <v/>
      </c>
      <c r="Y91">
        <f>AVERAGE(H91:O91)</f>
        <v/>
      </c>
      <c r="Z91">
        <f>X91-G91*8</f>
        <v/>
      </c>
    </row>
    <row r="92">
      <c r="A92" t="inlineStr">
        <is>
          <t>Talia al Ghul</t>
        </is>
      </c>
      <c r="B92" t="inlineStr">
        <is>
          <t>Validation Specialist</t>
        </is>
      </c>
      <c r="C92" t="inlineStr">
        <is>
          <t>ART</t>
        </is>
      </c>
      <c r="D92" t="inlineStr">
        <is>
          <t>ART 7</t>
        </is>
      </c>
      <c r="E92" t="inlineStr">
        <is>
          <t>Team Beta</t>
        </is>
      </c>
      <c r="F92" t="inlineStr">
        <is>
          <t>Justice League Validation</t>
        </is>
      </c>
      <c r="G92" t="n">
        <v>65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>
        <f>G92*H92</f>
        <v/>
      </c>
      <c r="Q92">
        <f>G92*I92</f>
        <v/>
      </c>
      <c r="R92">
        <f>G92*J92</f>
        <v/>
      </c>
      <c r="S92">
        <f>G92*K92</f>
        <v/>
      </c>
      <c r="T92">
        <f>G92*L92</f>
        <v/>
      </c>
      <c r="U92">
        <f>G92*M92</f>
        <v/>
      </c>
      <c r="V92">
        <f>G92*N92</f>
        <v/>
      </c>
      <c r="W92">
        <f>G92*O92</f>
        <v/>
      </c>
      <c r="X92">
        <f>SUM(P92:W92)</f>
        <v/>
      </c>
      <c r="Y92">
        <f>AVERAGE(H92:O92)</f>
        <v/>
      </c>
      <c r="Z92">
        <f>X92-G92*8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6" customWidth="1" min="13" max="13"/>
    <col width="12" customWidth="1" min="14" max="14"/>
    <col width="16" customWidth="1" min="15" max="15"/>
  </cols>
  <sheetData>
    <row r="1">
      <c r="A1" s="1" t="inlineStr">
        <is>
          <t>ART</t>
        </is>
      </c>
      <c r="B1" s="1" t="inlineStr">
        <is>
          <t>Headcount</t>
        </is>
      </c>
      <c r="C1" s="1" t="inlineStr">
        <is>
          <t>Total Cap/Sprint</t>
        </is>
      </c>
      <c r="D1" s="1" t="inlineStr">
        <is>
          <t>S1 Hrs</t>
        </is>
      </c>
      <c r="E1" s="1" t="inlineStr">
        <is>
          <t>S2 Hrs</t>
        </is>
      </c>
      <c r="F1" s="1" t="inlineStr">
        <is>
          <t>S3 Hrs</t>
        </is>
      </c>
      <c r="G1" s="1" t="inlineStr">
        <is>
          <t>S4 Hrs</t>
        </is>
      </c>
      <c r="H1" s="1" t="inlineStr">
        <is>
          <t>S5 Hrs</t>
        </is>
      </c>
      <c r="I1" s="1" t="inlineStr">
        <is>
          <t>S6 Hrs</t>
        </is>
      </c>
      <c r="J1" s="1" t="inlineStr">
        <is>
          <t>S7 Hrs</t>
        </is>
      </c>
      <c r="K1" s="1" t="inlineStr">
        <is>
          <t>S8 Hrs</t>
        </is>
      </c>
      <c r="L1" s="1" t="inlineStr">
        <is>
          <t>Total Hrs</t>
        </is>
      </c>
      <c r="M1" s="1" t="inlineStr">
        <is>
          <t>Overall Util %</t>
        </is>
      </c>
      <c r="N1" s="1" t="inlineStr">
        <is>
          <t>Avg Util %</t>
        </is>
      </c>
      <c r="O1" s="1" t="inlineStr">
        <is>
          <t>Over/Under Hrs</t>
        </is>
      </c>
    </row>
    <row r="2">
      <c r="A2" t="inlineStr">
        <is>
          <t>ART 1</t>
        </is>
      </c>
      <c r="B2">
        <f>COUNTIF(Resource_Workload!$D:$D,$A2)</f>
        <v/>
      </c>
      <c r="C2">
        <f>SUMIF(Resource_Workload!$D:$D,$A2,Resource_Workload!$G:$G)</f>
        <v/>
      </c>
      <c r="D2">
        <f>SUMIF(Resource_Workload!$D:$D,$A2,Resource_Workload!$P:$P)</f>
        <v/>
      </c>
      <c r="E2">
        <f>SUMIF(Resource_Workload!$D:$D,$A2,Resource_Workload!$Q:$Q)</f>
        <v/>
      </c>
      <c r="F2">
        <f>SUMIF(Resource_Workload!$D:$D,$A2,Resource_Workload!$R:$R)</f>
        <v/>
      </c>
      <c r="G2">
        <f>SUMIF(Resource_Workload!$D:$D,$A2,Resource_Workload!$S:$S)</f>
        <v/>
      </c>
      <c r="H2">
        <f>SUMIF(Resource_Workload!$D:$D,$A2,Resource_Workload!$T:$T)</f>
        <v/>
      </c>
      <c r="I2">
        <f>SUMIF(Resource_Workload!$D:$D,$A2,Resource_Workload!$U:$U)</f>
        <v/>
      </c>
      <c r="J2">
        <f>SUMIF(Resource_Workload!$D:$D,$A2,Resource_Workload!$V:$V)</f>
        <v/>
      </c>
      <c r="K2">
        <f>SUMIF(Resource_Workload!$D:$D,$A2,Resource_Workload!$W:$W)</f>
        <v/>
      </c>
      <c r="L2">
        <f>SUMIF(Resource_Workload!$D:$D,$A2,Resource_Workload!$X:$X)</f>
        <v/>
      </c>
      <c r="M2">
        <f>IFERROR(L2/(C2*8),0)</f>
        <v/>
      </c>
      <c r="N2">
        <f>AVERAGEIF(Resource_Workload!$D:$D,$A2,Resource_Workload!$Y:$Y)</f>
        <v/>
      </c>
      <c r="O2">
        <f>SUMIF(Resource_Workload!$D:$D,$A2,Resource_Workload!$Z:$Z)</f>
        <v/>
      </c>
    </row>
    <row r="3">
      <c r="A3" t="inlineStr">
        <is>
          <t>ART 2</t>
        </is>
      </c>
      <c r="B3">
        <f>COUNTIF(Resource_Workload!$D:$D,$A3)</f>
        <v/>
      </c>
      <c r="C3">
        <f>SUMIF(Resource_Workload!$D:$D,$A3,Resource_Workload!$G:$G)</f>
        <v/>
      </c>
      <c r="D3">
        <f>SUMIF(Resource_Workload!$D:$D,$A3,Resource_Workload!$P:$P)</f>
        <v/>
      </c>
      <c r="E3">
        <f>SUMIF(Resource_Workload!$D:$D,$A3,Resource_Workload!$Q:$Q)</f>
        <v/>
      </c>
      <c r="F3">
        <f>SUMIF(Resource_Workload!$D:$D,$A3,Resource_Workload!$R:$R)</f>
        <v/>
      </c>
      <c r="G3">
        <f>SUMIF(Resource_Workload!$D:$D,$A3,Resource_Workload!$S:$S)</f>
        <v/>
      </c>
      <c r="H3">
        <f>SUMIF(Resource_Workload!$D:$D,$A3,Resource_Workload!$T:$T)</f>
        <v/>
      </c>
      <c r="I3">
        <f>SUMIF(Resource_Workload!$D:$D,$A3,Resource_Workload!$U:$U)</f>
        <v/>
      </c>
      <c r="J3">
        <f>SUMIF(Resource_Workload!$D:$D,$A3,Resource_Workload!$V:$V)</f>
        <v/>
      </c>
      <c r="K3">
        <f>SUMIF(Resource_Workload!$D:$D,$A3,Resource_Workload!$W:$W)</f>
        <v/>
      </c>
      <c r="L3">
        <f>SUMIF(Resource_Workload!$D:$D,$A3,Resource_Workload!$X:$X)</f>
        <v/>
      </c>
      <c r="M3">
        <f>IFERROR(L3/(C3*8),0)</f>
        <v/>
      </c>
      <c r="N3">
        <f>AVERAGEIF(Resource_Workload!$D:$D,$A3,Resource_Workload!$Y:$Y)</f>
        <v/>
      </c>
      <c r="O3">
        <f>SUMIF(Resource_Workload!$D:$D,$A3,Resource_Workload!$Z:$Z)</f>
        <v/>
      </c>
    </row>
    <row r="4">
      <c r="A4" t="inlineStr">
        <is>
          <t>ART 3</t>
        </is>
      </c>
      <c r="B4">
        <f>COUNTIF(Resource_Workload!$D:$D,$A4)</f>
        <v/>
      </c>
      <c r="C4">
        <f>SUMIF(Resource_Workload!$D:$D,$A4,Resource_Workload!$G:$G)</f>
        <v/>
      </c>
      <c r="D4">
        <f>SUMIF(Resource_Workload!$D:$D,$A4,Resource_Workload!$P:$P)</f>
        <v/>
      </c>
      <c r="E4">
        <f>SUMIF(Resource_Workload!$D:$D,$A4,Resource_Workload!$Q:$Q)</f>
        <v/>
      </c>
      <c r="F4">
        <f>SUMIF(Resource_Workload!$D:$D,$A4,Resource_Workload!$R:$R)</f>
        <v/>
      </c>
      <c r="G4">
        <f>SUMIF(Resource_Workload!$D:$D,$A4,Resource_Workload!$S:$S)</f>
        <v/>
      </c>
      <c r="H4">
        <f>SUMIF(Resource_Workload!$D:$D,$A4,Resource_Workload!$T:$T)</f>
        <v/>
      </c>
      <c r="I4">
        <f>SUMIF(Resource_Workload!$D:$D,$A4,Resource_Workload!$U:$U)</f>
        <v/>
      </c>
      <c r="J4">
        <f>SUMIF(Resource_Workload!$D:$D,$A4,Resource_Workload!$V:$V)</f>
        <v/>
      </c>
      <c r="K4">
        <f>SUMIF(Resource_Workload!$D:$D,$A4,Resource_Workload!$W:$W)</f>
        <v/>
      </c>
      <c r="L4">
        <f>SUMIF(Resource_Workload!$D:$D,$A4,Resource_Workload!$X:$X)</f>
        <v/>
      </c>
      <c r="M4">
        <f>IFERROR(L4/(C4*8),0)</f>
        <v/>
      </c>
      <c r="N4">
        <f>AVERAGEIF(Resource_Workload!$D:$D,$A4,Resource_Workload!$Y:$Y)</f>
        <v/>
      </c>
      <c r="O4">
        <f>SUMIF(Resource_Workload!$D:$D,$A4,Resource_Workload!$Z:$Z)</f>
        <v/>
      </c>
    </row>
    <row r="5">
      <c r="A5" t="inlineStr">
        <is>
          <t>ART 4</t>
        </is>
      </c>
      <c r="B5">
        <f>COUNTIF(Resource_Workload!$D:$D,$A5)</f>
        <v/>
      </c>
      <c r="C5">
        <f>SUMIF(Resource_Workload!$D:$D,$A5,Resource_Workload!$G:$G)</f>
        <v/>
      </c>
      <c r="D5">
        <f>SUMIF(Resource_Workload!$D:$D,$A5,Resource_Workload!$P:$P)</f>
        <v/>
      </c>
      <c r="E5">
        <f>SUMIF(Resource_Workload!$D:$D,$A5,Resource_Workload!$Q:$Q)</f>
        <v/>
      </c>
      <c r="F5">
        <f>SUMIF(Resource_Workload!$D:$D,$A5,Resource_Workload!$R:$R)</f>
        <v/>
      </c>
      <c r="G5">
        <f>SUMIF(Resource_Workload!$D:$D,$A5,Resource_Workload!$S:$S)</f>
        <v/>
      </c>
      <c r="H5">
        <f>SUMIF(Resource_Workload!$D:$D,$A5,Resource_Workload!$T:$T)</f>
        <v/>
      </c>
      <c r="I5">
        <f>SUMIF(Resource_Workload!$D:$D,$A5,Resource_Workload!$U:$U)</f>
        <v/>
      </c>
      <c r="J5">
        <f>SUMIF(Resource_Workload!$D:$D,$A5,Resource_Workload!$V:$V)</f>
        <v/>
      </c>
      <c r="K5">
        <f>SUMIF(Resource_Workload!$D:$D,$A5,Resource_Workload!$W:$W)</f>
        <v/>
      </c>
      <c r="L5">
        <f>SUMIF(Resource_Workload!$D:$D,$A5,Resource_Workload!$X:$X)</f>
        <v/>
      </c>
      <c r="M5">
        <f>IFERROR(L5/(C5*8),0)</f>
        <v/>
      </c>
      <c r="N5">
        <f>AVERAGEIF(Resource_Workload!$D:$D,$A5,Resource_Workload!$Y:$Y)</f>
        <v/>
      </c>
      <c r="O5">
        <f>SUMIF(Resource_Workload!$D:$D,$A5,Resource_Workload!$Z:$Z)</f>
        <v/>
      </c>
    </row>
    <row r="6">
      <c r="A6" t="inlineStr">
        <is>
          <t>ART 5</t>
        </is>
      </c>
      <c r="B6">
        <f>COUNTIF(Resource_Workload!$D:$D,$A6)</f>
        <v/>
      </c>
      <c r="C6">
        <f>SUMIF(Resource_Workload!$D:$D,$A6,Resource_Workload!$G:$G)</f>
        <v/>
      </c>
      <c r="D6">
        <f>SUMIF(Resource_Workload!$D:$D,$A6,Resource_Workload!$P:$P)</f>
        <v/>
      </c>
      <c r="E6">
        <f>SUMIF(Resource_Workload!$D:$D,$A6,Resource_Workload!$Q:$Q)</f>
        <v/>
      </c>
      <c r="F6">
        <f>SUMIF(Resource_Workload!$D:$D,$A6,Resource_Workload!$R:$R)</f>
        <v/>
      </c>
      <c r="G6">
        <f>SUMIF(Resource_Workload!$D:$D,$A6,Resource_Workload!$S:$S)</f>
        <v/>
      </c>
      <c r="H6">
        <f>SUMIF(Resource_Workload!$D:$D,$A6,Resource_Workload!$T:$T)</f>
        <v/>
      </c>
      <c r="I6">
        <f>SUMIF(Resource_Workload!$D:$D,$A6,Resource_Workload!$U:$U)</f>
        <v/>
      </c>
      <c r="J6">
        <f>SUMIF(Resource_Workload!$D:$D,$A6,Resource_Workload!$V:$V)</f>
        <v/>
      </c>
      <c r="K6">
        <f>SUMIF(Resource_Workload!$D:$D,$A6,Resource_Workload!$W:$W)</f>
        <v/>
      </c>
      <c r="L6">
        <f>SUMIF(Resource_Workload!$D:$D,$A6,Resource_Workload!$X:$X)</f>
        <v/>
      </c>
      <c r="M6">
        <f>IFERROR(L6/(C6*8),0)</f>
        <v/>
      </c>
      <c r="N6">
        <f>AVERAGEIF(Resource_Workload!$D:$D,$A6,Resource_Workload!$Y:$Y)</f>
        <v/>
      </c>
      <c r="O6">
        <f>SUMIF(Resource_Workload!$D:$D,$A6,Resource_Workload!$Z:$Z)</f>
        <v/>
      </c>
    </row>
    <row r="7">
      <c r="A7" t="inlineStr">
        <is>
          <t>ART 6</t>
        </is>
      </c>
      <c r="B7">
        <f>COUNTIF(Resource_Workload!$D:$D,$A7)</f>
        <v/>
      </c>
      <c r="C7">
        <f>SUMIF(Resource_Workload!$D:$D,$A7,Resource_Workload!$G:$G)</f>
        <v/>
      </c>
      <c r="D7">
        <f>SUMIF(Resource_Workload!$D:$D,$A7,Resource_Workload!$P:$P)</f>
        <v/>
      </c>
      <c r="E7">
        <f>SUMIF(Resource_Workload!$D:$D,$A7,Resource_Workload!$Q:$Q)</f>
        <v/>
      </c>
      <c r="F7">
        <f>SUMIF(Resource_Workload!$D:$D,$A7,Resource_Workload!$R:$R)</f>
        <v/>
      </c>
      <c r="G7">
        <f>SUMIF(Resource_Workload!$D:$D,$A7,Resource_Workload!$S:$S)</f>
        <v/>
      </c>
      <c r="H7">
        <f>SUMIF(Resource_Workload!$D:$D,$A7,Resource_Workload!$T:$T)</f>
        <v/>
      </c>
      <c r="I7">
        <f>SUMIF(Resource_Workload!$D:$D,$A7,Resource_Workload!$U:$U)</f>
        <v/>
      </c>
      <c r="J7">
        <f>SUMIF(Resource_Workload!$D:$D,$A7,Resource_Workload!$V:$V)</f>
        <v/>
      </c>
      <c r="K7">
        <f>SUMIF(Resource_Workload!$D:$D,$A7,Resource_Workload!$W:$W)</f>
        <v/>
      </c>
      <c r="L7">
        <f>SUMIF(Resource_Workload!$D:$D,$A7,Resource_Workload!$X:$X)</f>
        <v/>
      </c>
      <c r="M7">
        <f>IFERROR(L7/(C7*8),0)</f>
        <v/>
      </c>
      <c r="N7">
        <f>AVERAGEIF(Resource_Workload!$D:$D,$A7,Resource_Workload!$Y:$Y)</f>
        <v/>
      </c>
      <c r="O7">
        <f>SUMIF(Resource_Workload!$D:$D,$A7,Resource_Workload!$Z:$Z)</f>
        <v/>
      </c>
    </row>
    <row r="8">
      <c r="A8" t="inlineStr">
        <is>
          <t>ART 7</t>
        </is>
      </c>
      <c r="B8">
        <f>COUNTIF(Resource_Workload!$D:$D,$A8)</f>
        <v/>
      </c>
      <c r="C8">
        <f>SUMIF(Resource_Workload!$D:$D,$A8,Resource_Workload!$G:$G)</f>
        <v/>
      </c>
      <c r="D8">
        <f>SUMIF(Resource_Workload!$D:$D,$A8,Resource_Workload!$P:$P)</f>
        <v/>
      </c>
      <c r="E8">
        <f>SUMIF(Resource_Workload!$D:$D,$A8,Resource_Workload!$Q:$Q)</f>
        <v/>
      </c>
      <c r="F8">
        <f>SUMIF(Resource_Workload!$D:$D,$A8,Resource_Workload!$R:$R)</f>
        <v/>
      </c>
      <c r="G8">
        <f>SUMIF(Resource_Workload!$D:$D,$A8,Resource_Workload!$S:$S)</f>
        <v/>
      </c>
      <c r="H8">
        <f>SUMIF(Resource_Workload!$D:$D,$A8,Resource_Workload!$T:$T)</f>
        <v/>
      </c>
      <c r="I8">
        <f>SUMIF(Resource_Workload!$D:$D,$A8,Resource_Workload!$U:$U)</f>
        <v/>
      </c>
      <c r="J8">
        <f>SUMIF(Resource_Workload!$D:$D,$A8,Resource_Workload!$V:$V)</f>
        <v/>
      </c>
      <c r="K8">
        <f>SUMIF(Resource_Workload!$D:$D,$A8,Resource_Workload!$W:$W)</f>
        <v/>
      </c>
      <c r="L8">
        <f>SUMIF(Resource_Workload!$D:$D,$A8,Resource_Workload!$X:$X)</f>
        <v/>
      </c>
      <c r="M8">
        <f>IFERROR(L8/(C8*8),0)</f>
        <v/>
      </c>
      <c r="N8">
        <f>AVERAGEIF(Resource_Workload!$D:$D,$A8,Resource_Workload!$Y:$Y)</f>
        <v/>
      </c>
      <c r="O8">
        <f>SUMIF(Resource_Workload!$D:$D,$A8,Resource_Workload!$Z:$Z)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2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6" customWidth="1" min="15" max="15"/>
    <col width="12" customWidth="1" min="16" max="16"/>
    <col width="16" customWidth="1" min="17" max="17"/>
  </cols>
  <sheetData>
    <row r="1">
      <c r="A1" s="1" t="inlineStr">
        <is>
          <t>ART</t>
        </is>
      </c>
      <c r="B1" s="1" t="inlineStr">
        <is>
          <t>Team</t>
        </is>
      </c>
      <c r="C1" s="1" t="inlineStr">
        <is>
          <t>Unit</t>
        </is>
      </c>
      <c r="D1" s="1" t="inlineStr">
        <is>
          <t>Headcount</t>
        </is>
      </c>
      <c r="E1" s="1" t="inlineStr">
        <is>
          <t>Total Cap/Sprint</t>
        </is>
      </c>
      <c r="F1" s="1" t="inlineStr">
        <is>
          <t>S1 Hrs</t>
        </is>
      </c>
      <c r="G1" s="1" t="inlineStr">
        <is>
          <t>S2 Hrs</t>
        </is>
      </c>
      <c r="H1" s="1" t="inlineStr">
        <is>
          <t>S3 Hrs</t>
        </is>
      </c>
      <c r="I1" s="1" t="inlineStr">
        <is>
          <t>S4 Hrs</t>
        </is>
      </c>
      <c r="J1" s="1" t="inlineStr">
        <is>
          <t>S5 Hrs</t>
        </is>
      </c>
      <c r="K1" s="1" t="inlineStr">
        <is>
          <t>S6 Hrs</t>
        </is>
      </c>
      <c r="L1" s="1" t="inlineStr">
        <is>
          <t>S7 Hrs</t>
        </is>
      </c>
      <c r="M1" s="1" t="inlineStr">
        <is>
          <t>S8 Hrs</t>
        </is>
      </c>
      <c r="N1" s="1" t="inlineStr">
        <is>
          <t>Total Hrs</t>
        </is>
      </c>
      <c r="O1" s="1" t="inlineStr">
        <is>
          <t>Overall Util %</t>
        </is>
      </c>
      <c r="P1" s="1" t="inlineStr">
        <is>
          <t>Avg Util %</t>
        </is>
      </c>
      <c r="Q1" s="1" t="inlineStr">
        <is>
          <t>Over/Under Hrs</t>
        </is>
      </c>
    </row>
    <row r="2">
      <c r="A2" t="inlineStr">
        <is>
          <t>ART 1</t>
        </is>
      </c>
      <c r="B2" t="inlineStr">
        <is>
          <t>Team Alpha</t>
        </is>
      </c>
      <c r="C2" t="inlineStr">
        <is>
          <t>Justice League Command</t>
        </is>
      </c>
      <c r="D2">
        <f>COUNTIFS(Resource_Workload!$D:$D,$A2,Resource_Workload!$E:$E,$B2,Resource_Workload!$F:$F,$C2)</f>
        <v/>
      </c>
      <c r="E2">
        <f>SUMIFS(Resource_Workload!$G:$G,Resource_Workload!$D:$D,$A2,Resource_Workload!$E:$E,$B2,Resource_Workload!$F:$F,$C2)</f>
        <v/>
      </c>
      <c r="F2">
        <f>SUMIFS(Resource_Workload!$P:$P,Resource_Workload!$D:$D,$A2,Resource_Workload!$E:$E,$B2,Resource_Workload!$F:$F,$C2)</f>
        <v/>
      </c>
      <c r="G2">
        <f>SUMIFS(Resource_Workload!$Q:$Q,Resource_Workload!$D:$D,$A2,Resource_Workload!$E:$E,$B2,Resource_Workload!$F:$F,$C2)</f>
        <v/>
      </c>
      <c r="H2">
        <f>SUMIFS(Resource_Workload!$R:$R,Resource_Workload!$D:$D,$A2,Resource_Workload!$E:$E,$B2,Resource_Workload!$F:$F,$C2)</f>
        <v/>
      </c>
      <c r="I2">
        <f>SUMIFS(Resource_Workload!$S:$S,Resource_Workload!$D:$D,$A2,Resource_Workload!$E:$E,$B2,Resource_Workload!$F:$F,$C2)</f>
        <v/>
      </c>
      <c r="J2">
        <f>SUMIFS(Resource_Workload!$T:$T,Resource_Workload!$D:$D,$A2,Resource_Workload!$E:$E,$B2,Resource_Workload!$F:$F,$C2)</f>
        <v/>
      </c>
      <c r="K2">
        <f>SUMIFS(Resource_Workload!$U:$U,Resource_Workload!$D:$D,$A2,Resource_Workload!$E:$E,$B2,Resource_Workload!$F:$F,$C2)</f>
        <v/>
      </c>
      <c r="L2">
        <f>SUMIFS(Resource_Workload!$V:$V,Resource_Workload!$D:$D,$A2,Resource_Workload!$E:$E,$B2,Resource_Workload!$F:$F,$C2)</f>
        <v/>
      </c>
      <c r="M2">
        <f>SUMIFS(Resource_Workload!$W:$W,Resource_Workload!$D:$D,$A2,Resource_Workload!$E:$E,$B2,Resource_Workload!$F:$F,$C2)</f>
        <v/>
      </c>
      <c r="N2">
        <f>SUMIFS(Resource_Workload!$X:$X,Resource_Workload!$D:$D,$A2,Resource_Workload!$E:$E,$B2,Resource_Workload!$F:$F,$C2)</f>
        <v/>
      </c>
      <c r="O2">
        <f>IFERROR(N2/(E2*8),0)</f>
        <v/>
      </c>
      <c r="P2">
        <f>AVERAGEIFS(Resource_Workload!$Y:$Y,Resource_Workload!$D:$D,$A2,Resource_Workload!$E:$E,$B2,Resource_Workload!$F:$F,$C2)</f>
        <v/>
      </c>
      <c r="Q2">
        <f>SUMIFS(Resource_Workload!$Z:$Z,Resource_Workload!$D:$D,$A2,Resource_Workload!$E:$E,$B2,Resource_Workload!$F:$F,$C2)</f>
        <v/>
      </c>
    </row>
    <row r="3">
      <c r="A3" t="inlineStr">
        <is>
          <t>ART 1</t>
        </is>
      </c>
      <c r="B3" t="inlineStr">
        <is>
          <t>Team Beta</t>
        </is>
      </c>
      <c r="C3" t="inlineStr">
        <is>
          <t>Avengers Interface</t>
        </is>
      </c>
      <c r="D3">
        <f>COUNTIFS(Resource_Workload!$D:$D,$A3,Resource_Workload!$E:$E,$B3,Resource_Workload!$F:$F,$C3)</f>
        <v/>
      </c>
      <c r="E3">
        <f>SUMIFS(Resource_Workload!$G:$G,Resource_Workload!$D:$D,$A3,Resource_Workload!$E:$E,$B3,Resource_Workload!$F:$F,$C3)</f>
        <v/>
      </c>
      <c r="F3">
        <f>SUMIFS(Resource_Workload!$P:$P,Resource_Workload!$D:$D,$A3,Resource_Workload!$E:$E,$B3,Resource_Workload!$F:$F,$C3)</f>
        <v/>
      </c>
      <c r="G3">
        <f>SUMIFS(Resource_Workload!$Q:$Q,Resource_Workload!$D:$D,$A3,Resource_Workload!$E:$E,$B3,Resource_Workload!$F:$F,$C3)</f>
        <v/>
      </c>
      <c r="H3">
        <f>SUMIFS(Resource_Workload!$R:$R,Resource_Workload!$D:$D,$A3,Resource_Workload!$E:$E,$B3,Resource_Workload!$F:$F,$C3)</f>
        <v/>
      </c>
      <c r="I3">
        <f>SUMIFS(Resource_Workload!$S:$S,Resource_Workload!$D:$D,$A3,Resource_Workload!$E:$E,$B3,Resource_Workload!$F:$F,$C3)</f>
        <v/>
      </c>
      <c r="J3">
        <f>SUMIFS(Resource_Workload!$T:$T,Resource_Workload!$D:$D,$A3,Resource_Workload!$E:$E,$B3,Resource_Workload!$F:$F,$C3)</f>
        <v/>
      </c>
      <c r="K3">
        <f>SUMIFS(Resource_Workload!$U:$U,Resource_Workload!$D:$D,$A3,Resource_Workload!$E:$E,$B3,Resource_Workload!$F:$F,$C3)</f>
        <v/>
      </c>
      <c r="L3">
        <f>SUMIFS(Resource_Workload!$V:$V,Resource_Workload!$D:$D,$A3,Resource_Workload!$E:$E,$B3,Resource_Workload!$F:$F,$C3)</f>
        <v/>
      </c>
      <c r="M3">
        <f>SUMIFS(Resource_Workload!$W:$W,Resource_Workload!$D:$D,$A3,Resource_Workload!$E:$E,$B3,Resource_Workload!$F:$F,$C3)</f>
        <v/>
      </c>
      <c r="N3">
        <f>SUMIFS(Resource_Workload!$X:$X,Resource_Workload!$D:$D,$A3,Resource_Workload!$E:$E,$B3,Resource_Workload!$F:$F,$C3)</f>
        <v/>
      </c>
      <c r="O3">
        <f>IFERROR(N3/(E3*8),0)</f>
        <v/>
      </c>
      <c r="P3">
        <f>AVERAGEIFS(Resource_Workload!$Y:$Y,Resource_Workload!$D:$D,$A3,Resource_Workload!$E:$E,$B3,Resource_Workload!$F:$F,$C3)</f>
        <v/>
      </c>
      <c r="Q3">
        <f>SUMIFS(Resource_Workload!$Z:$Z,Resource_Workload!$D:$D,$A3,Resource_Workload!$E:$E,$B3,Resource_Workload!$F:$F,$C3)</f>
        <v/>
      </c>
    </row>
    <row r="4">
      <c r="A4" t="inlineStr">
        <is>
          <t>ART 2</t>
        </is>
      </c>
      <c r="B4" t="inlineStr">
        <is>
          <t>Team Alpha</t>
        </is>
      </c>
      <c r="C4" t="inlineStr">
        <is>
          <t>X-Men Flight</t>
        </is>
      </c>
      <c r="D4">
        <f>COUNTIFS(Resource_Workload!$D:$D,$A4,Resource_Workload!$E:$E,$B4,Resource_Workload!$F:$F,$C4)</f>
        <v/>
      </c>
      <c r="E4">
        <f>SUMIFS(Resource_Workload!$G:$G,Resource_Workload!$D:$D,$A4,Resource_Workload!$E:$E,$B4,Resource_Workload!$F:$F,$C4)</f>
        <v/>
      </c>
      <c r="F4">
        <f>SUMIFS(Resource_Workload!$P:$P,Resource_Workload!$D:$D,$A4,Resource_Workload!$E:$E,$B4,Resource_Workload!$F:$F,$C4)</f>
        <v/>
      </c>
      <c r="G4">
        <f>SUMIFS(Resource_Workload!$Q:$Q,Resource_Workload!$D:$D,$A4,Resource_Workload!$E:$E,$B4,Resource_Workload!$F:$F,$C4)</f>
        <v/>
      </c>
      <c r="H4">
        <f>SUMIFS(Resource_Workload!$R:$R,Resource_Workload!$D:$D,$A4,Resource_Workload!$E:$E,$B4,Resource_Workload!$F:$F,$C4)</f>
        <v/>
      </c>
      <c r="I4">
        <f>SUMIFS(Resource_Workload!$S:$S,Resource_Workload!$D:$D,$A4,Resource_Workload!$E:$E,$B4,Resource_Workload!$F:$F,$C4)</f>
        <v/>
      </c>
      <c r="J4">
        <f>SUMIFS(Resource_Workload!$T:$T,Resource_Workload!$D:$D,$A4,Resource_Workload!$E:$E,$B4,Resource_Workload!$F:$F,$C4)</f>
        <v/>
      </c>
      <c r="K4">
        <f>SUMIFS(Resource_Workload!$U:$U,Resource_Workload!$D:$D,$A4,Resource_Workload!$E:$E,$B4,Resource_Workload!$F:$F,$C4)</f>
        <v/>
      </c>
      <c r="L4">
        <f>SUMIFS(Resource_Workload!$V:$V,Resource_Workload!$D:$D,$A4,Resource_Workload!$E:$E,$B4,Resource_Workload!$F:$F,$C4)</f>
        <v/>
      </c>
      <c r="M4">
        <f>SUMIFS(Resource_Workload!$W:$W,Resource_Workload!$D:$D,$A4,Resource_Workload!$E:$E,$B4,Resource_Workload!$F:$F,$C4)</f>
        <v/>
      </c>
      <c r="N4">
        <f>SUMIFS(Resource_Workload!$X:$X,Resource_Workload!$D:$D,$A4,Resource_Workload!$E:$E,$B4,Resource_Workload!$F:$F,$C4)</f>
        <v/>
      </c>
      <c r="O4">
        <f>IFERROR(N4/(E4*8),0)</f>
        <v/>
      </c>
      <c r="P4">
        <f>AVERAGEIFS(Resource_Workload!$Y:$Y,Resource_Workload!$D:$D,$A4,Resource_Workload!$E:$E,$B4,Resource_Workload!$F:$F,$C4)</f>
        <v/>
      </c>
      <c r="Q4">
        <f>SUMIFS(Resource_Workload!$Z:$Z,Resource_Workload!$D:$D,$A4,Resource_Workload!$E:$E,$B4,Resource_Workload!$F:$F,$C4)</f>
        <v/>
      </c>
    </row>
    <row r="5">
      <c r="A5" t="inlineStr">
        <is>
          <t>ART 2</t>
        </is>
      </c>
      <c r="B5" t="inlineStr">
        <is>
          <t>Team Beta</t>
        </is>
      </c>
      <c r="C5" t="inlineStr">
        <is>
          <t>Fantastic Four Navigation</t>
        </is>
      </c>
      <c r="D5">
        <f>COUNTIFS(Resource_Workload!$D:$D,$A5,Resource_Workload!$E:$E,$B5,Resource_Workload!$F:$F,$C5)</f>
        <v/>
      </c>
      <c r="E5">
        <f>SUMIFS(Resource_Workload!$G:$G,Resource_Workload!$D:$D,$A5,Resource_Workload!$E:$E,$B5,Resource_Workload!$F:$F,$C5)</f>
        <v/>
      </c>
      <c r="F5">
        <f>SUMIFS(Resource_Workload!$P:$P,Resource_Workload!$D:$D,$A5,Resource_Workload!$E:$E,$B5,Resource_Workload!$F:$F,$C5)</f>
        <v/>
      </c>
      <c r="G5">
        <f>SUMIFS(Resource_Workload!$Q:$Q,Resource_Workload!$D:$D,$A5,Resource_Workload!$E:$E,$B5,Resource_Workload!$F:$F,$C5)</f>
        <v/>
      </c>
      <c r="H5">
        <f>SUMIFS(Resource_Workload!$R:$R,Resource_Workload!$D:$D,$A5,Resource_Workload!$E:$E,$B5,Resource_Workload!$F:$F,$C5)</f>
        <v/>
      </c>
      <c r="I5">
        <f>SUMIFS(Resource_Workload!$S:$S,Resource_Workload!$D:$D,$A5,Resource_Workload!$E:$E,$B5,Resource_Workload!$F:$F,$C5)</f>
        <v/>
      </c>
      <c r="J5">
        <f>SUMIFS(Resource_Workload!$T:$T,Resource_Workload!$D:$D,$A5,Resource_Workload!$E:$E,$B5,Resource_Workload!$F:$F,$C5)</f>
        <v/>
      </c>
      <c r="K5">
        <f>SUMIFS(Resource_Workload!$U:$U,Resource_Workload!$D:$D,$A5,Resource_Workload!$E:$E,$B5,Resource_Workload!$F:$F,$C5)</f>
        <v/>
      </c>
      <c r="L5">
        <f>SUMIFS(Resource_Workload!$V:$V,Resource_Workload!$D:$D,$A5,Resource_Workload!$E:$E,$B5,Resource_Workload!$F:$F,$C5)</f>
        <v/>
      </c>
      <c r="M5">
        <f>SUMIFS(Resource_Workload!$W:$W,Resource_Workload!$D:$D,$A5,Resource_Workload!$E:$E,$B5,Resource_Workload!$F:$F,$C5)</f>
        <v/>
      </c>
      <c r="N5">
        <f>SUMIFS(Resource_Workload!$X:$X,Resource_Workload!$D:$D,$A5,Resource_Workload!$E:$E,$B5,Resource_Workload!$F:$F,$C5)</f>
        <v/>
      </c>
      <c r="O5">
        <f>IFERROR(N5/(E5*8),0)</f>
        <v/>
      </c>
      <c r="P5">
        <f>AVERAGEIFS(Resource_Workload!$Y:$Y,Resource_Workload!$D:$D,$A5,Resource_Workload!$E:$E,$B5,Resource_Workload!$F:$F,$C5)</f>
        <v/>
      </c>
      <c r="Q5">
        <f>SUMIFS(Resource_Workload!$Z:$Z,Resource_Workload!$D:$D,$A5,Resource_Workload!$E:$E,$B5,Resource_Workload!$F:$F,$C5)</f>
        <v/>
      </c>
    </row>
    <row r="6">
      <c r="A6" t="inlineStr">
        <is>
          <t>ART 3</t>
        </is>
      </c>
      <c r="B6" t="inlineStr">
        <is>
          <t>Team Alpha</t>
        </is>
      </c>
      <c r="C6" t="inlineStr">
        <is>
          <t>Teen Titans Communication</t>
        </is>
      </c>
      <c r="D6">
        <f>COUNTIFS(Resource_Workload!$D:$D,$A6,Resource_Workload!$E:$E,$B6,Resource_Workload!$F:$F,$C6)</f>
        <v/>
      </c>
      <c r="E6">
        <f>SUMIFS(Resource_Workload!$G:$G,Resource_Workload!$D:$D,$A6,Resource_Workload!$E:$E,$B6,Resource_Workload!$F:$F,$C6)</f>
        <v/>
      </c>
      <c r="F6">
        <f>SUMIFS(Resource_Workload!$P:$P,Resource_Workload!$D:$D,$A6,Resource_Workload!$E:$E,$B6,Resource_Workload!$F:$F,$C6)</f>
        <v/>
      </c>
      <c r="G6">
        <f>SUMIFS(Resource_Workload!$Q:$Q,Resource_Workload!$D:$D,$A6,Resource_Workload!$E:$E,$B6,Resource_Workload!$F:$F,$C6)</f>
        <v/>
      </c>
      <c r="H6">
        <f>SUMIFS(Resource_Workload!$R:$R,Resource_Workload!$D:$D,$A6,Resource_Workload!$E:$E,$B6,Resource_Workload!$F:$F,$C6)</f>
        <v/>
      </c>
      <c r="I6">
        <f>SUMIFS(Resource_Workload!$S:$S,Resource_Workload!$D:$D,$A6,Resource_Workload!$E:$E,$B6,Resource_Workload!$F:$F,$C6)</f>
        <v/>
      </c>
      <c r="J6">
        <f>SUMIFS(Resource_Workload!$T:$T,Resource_Workload!$D:$D,$A6,Resource_Workload!$E:$E,$B6,Resource_Workload!$F:$F,$C6)</f>
        <v/>
      </c>
      <c r="K6">
        <f>SUMIFS(Resource_Workload!$U:$U,Resource_Workload!$D:$D,$A6,Resource_Workload!$E:$E,$B6,Resource_Workload!$F:$F,$C6)</f>
        <v/>
      </c>
      <c r="L6">
        <f>SUMIFS(Resource_Workload!$V:$V,Resource_Workload!$D:$D,$A6,Resource_Workload!$E:$E,$B6,Resource_Workload!$F:$F,$C6)</f>
        <v/>
      </c>
      <c r="M6">
        <f>SUMIFS(Resource_Workload!$W:$W,Resource_Workload!$D:$D,$A6,Resource_Workload!$E:$E,$B6,Resource_Workload!$F:$F,$C6)</f>
        <v/>
      </c>
      <c r="N6">
        <f>SUMIFS(Resource_Workload!$X:$X,Resource_Workload!$D:$D,$A6,Resource_Workload!$E:$E,$B6,Resource_Workload!$F:$F,$C6)</f>
        <v/>
      </c>
      <c r="O6">
        <f>IFERROR(N6/(E6*8),0)</f>
        <v/>
      </c>
      <c r="P6">
        <f>AVERAGEIFS(Resource_Workload!$Y:$Y,Resource_Workload!$D:$D,$A6,Resource_Workload!$E:$E,$B6,Resource_Workload!$F:$F,$C6)</f>
        <v/>
      </c>
      <c r="Q6">
        <f>SUMIFS(Resource_Workload!$Z:$Z,Resource_Workload!$D:$D,$A6,Resource_Workload!$E:$E,$B6,Resource_Workload!$F:$F,$C6)</f>
        <v/>
      </c>
    </row>
    <row r="7">
      <c r="A7" t="inlineStr">
        <is>
          <t>ART 3</t>
        </is>
      </c>
      <c r="B7" t="inlineStr">
        <is>
          <t>Team Beta</t>
        </is>
      </c>
      <c r="C7" t="inlineStr">
        <is>
          <t>Guardians of the Network</t>
        </is>
      </c>
      <c r="D7">
        <f>COUNTIFS(Resource_Workload!$D:$D,$A7,Resource_Workload!$E:$E,$B7,Resource_Workload!$F:$F,$C7)</f>
        <v/>
      </c>
      <c r="E7">
        <f>SUMIFS(Resource_Workload!$G:$G,Resource_Workload!$D:$D,$A7,Resource_Workload!$E:$E,$B7,Resource_Workload!$F:$F,$C7)</f>
        <v/>
      </c>
      <c r="F7">
        <f>SUMIFS(Resource_Workload!$P:$P,Resource_Workload!$D:$D,$A7,Resource_Workload!$E:$E,$B7,Resource_Workload!$F:$F,$C7)</f>
        <v/>
      </c>
      <c r="G7">
        <f>SUMIFS(Resource_Workload!$Q:$Q,Resource_Workload!$D:$D,$A7,Resource_Workload!$E:$E,$B7,Resource_Workload!$F:$F,$C7)</f>
        <v/>
      </c>
      <c r="H7">
        <f>SUMIFS(Resource_Workload!$R:$R,Resource_Workload!$D:$D,$A7,Resource_Workload!$E:$E,$B7,Resource_Workload!$F:$F,$C7)</f>
        <v/>
      </c>
      <c r="I7">
        <f>SUMIFS(Resource_Workload!$S:$S,Resource_Workload!$D:$D,$A7,Resource_Workload!$E:$E,$B7,Resource_Workload!$F:$F,$C7)</f>
        <v/>
      </c>
      <c r="J7">
        <f>SUMIFS(Resource_Workload!$T:$T,Resource_Workload!$D:$D,$A7,Resource_Workload!$E:$E,$B7,Resource_Workload!$F:$F,$C7)</f>
        <v/>
      </c>
      <c r="K7">
        <f>SUMIFS(Resource_Workload!$U:$U,Resource_Workload!$D:$D,$A7,Resource_Workload!$E:$E,$B7,Resource_Workload!$F:$F,$C7)</f>
        <v/>
      </c>
      <c r="L7">
        <f>SUMIFS(Resource_Workload!$V:$V,Resource_Workload!$D:$D,$A7,Resource_Workload!$E:$E,$B7,Resource_Workload!$F:$F,$C7)</f>
        <v/>
      </c>
      <c r="M7">
        <f>SUMIFS(Resource_Workload!$W:$W,Resource_Workload!$D:$D,$A7,Resource_Workload!$E:$E,$B7,Resource_Workload!$F:$F,$C7)</f>
        <v/>
      </c>
      <c r="N7">
        <f>SUMIFS(Resource_Workload!$X:$X,Resource_Workload!$D:$D,$A7,Resource_Workload!$E:$E,$B7,Resource_Workload!$F:$F,$C7)</f>
        <v/>
      </c>
      <c r="O7">
        <f>IFERROR(N7/(E7*8),0)</f>
        <v/>
      </c>
      <c r="P7">
        <f>AVERAGEIFS(Resource_Workload!$Y:$Y,Resource_Workload!$D:$D,$A7,Resource_Workload!$E:$E,$B7,Resource_Workload!$F:$F,$C7)</f>
        <v/>
      </c>
      <c r="Q7">
        <f>SUMIFS(Resource_Workload!$Z:$Z,Resource_Workload!$D:$D,$A7,Resource_Workload!$E:$E,$B7,Resource_Workload!$F:$F,$C7)</f>
        <v/>
      </c>
    </row>
    <row r="8">
      <c r="A8" t="inlineStr">
        <is>
          <t>ART 4</t>
        </is>
      </c>
      <c r="B8" t="inlineStr">
        <is>
          <t>Team Alpha</t>
        </is>
      </c>
      <c r="C8" t="inlineStr">
        <is>
          <t>S.H.I.E.L.D. Security</t>
        </is>
      </c>
      <c r="D8">
        <f>COUNTIFS(Resource_Workload!$D:$D,$A8,Resource_Workload!$E:$E,$B8,Resource_Workload!$F:$F,$C8)</f>
        <v/>
      </c>
      <c r="E8">
        <f>SUMIFS(Resource_Workload!$G:$G,Resource_Workload!$D:$D,$A8,Resource_Workload!$E:$E,$B8,Resource_Workload!$F:$F,$C8)</f>
        <v/>
      </c>
      <c r="F8">
        <f>SUMIFS(Resource_Workload!$P:$P,Resource_Workload!$D:$D,$A8,Resource_Workload!$E:$E,$B8,Resource_Workload!$F:$F,$C8)</f>
        <v/>
      </c>
      <c r="G8">
        <f>SUMIFS(Resource_Workload!$Q:$Q,Resource_Workload!$D:$D,$A8,Resource_Workload!$E:$E,$B8,Resource_Workload!$F:$F,$C8)</f>
        <v/>
      </c>
      <c r="H8">
        <f>SUMIFS(Resource_Workload!$R:$R,Resource_Workload!$D:$D,$A8,Resource_Workload!$E:$E,$B8,Resource_Workload!$F:$F,$C8)</f>
        <v/>
      </c>
      <c r="I8">
        <f>SUMIFS(Resource_Workload!$S:$S,Resource_Workload!$D:$D,$A8,Resource_Workload!$E:$E,$B8,Resource_Workload!$F:$F,$C8)</f>
        <v/>
      </c>
      <c r="J8">
        <f>SUMIFS(Resource_Workload!$T:$T,Resource_Workload!$D:$D,$A8,Resource_Workload!$E:$E,$B8,Resource_Workload!$F:$F,$C8)</f>
        <v/>
      </c>
      <c r="K8">
        <f>SUMIFS(Resource_Workload!$U:$U,Resource_Workload!$D:$D,$A8,Resource_Workload!$E:$E,$B8,Resource_Workload!$F:$F,$C8)</f>
        <v/>
      </c>
      <c r="L8">
        <f>SUMIFS(Resource_Workload!$V:$V,Resource_Workload!$D:$D,$A8,Resource_Workload!$E:$E,$B8,Resource_Workload!$F:$F,$C8)</f>
        <v/>
      </c>
      <c r="M8">
        <f>SUMIFS(Resource_Workload!$W:$W,Resource_Workload!$D:$D,$A8,Resource_Workload!$E:$E,$B8,Resource_Workload!$F:$F,$C8)</f>
        <v/>
      </c>
      <c r="N8">
        <f>SUMIFS(Resource_Workload!$X:$X,Resource_Workload!$D:$D,$A8,Resource_Workload!$E:$E,$B8,Resource_Workload!$F:$F,$C8)</f>
        <v/>
      </c>
      <c r="O8">
        <f>IFERROR(N8/(E8*8),0)</f>
        <v/>
      </c>
      <c r="P8">
        <f>AVERAGEIFS(Resource_Workload!$Y:$Y,Resource_Workload!$D:$D,$A8,Resource_Workload!$E:$E,$B8,Resource_Workload!$F:$F,$C8)</f>
        <v/>
      </c>
      <c r="Q8">
        <f>SUMIFS(Resource_Workload!$Z:$Z,Resource_Workload!$D:$D,$A8,Resource_Workload!$E:$E,$B8,Resource_Workload!$F:$F,$C8)</f>
        <v/>
      </c>
    </row>
    <row r="9">
      <c r="A9" t="inlineStr">
        <is>
          <t>ART 4</t>
        </is>
      </c>
      <c r="B9" t="inlineStr">
        <is>
          <t>Team Beta</t>
        </is>
      </c>
      <c r="C9" t="inlineStr">
        <is>
          <t>Watchmen Intrusion</t>
        </is>
      </c>
      <c r="D9">
        <f>COUNTIFS(Resource_Workload!$D:$D,$A9,Resource_Workload!$E:$E,$B9,Resource_Workload!$F:$F,$C9)</f>
        <v/>
      </c>
      <c r="E9">
        <f>SUMIFS(Resource_Workload!$G:$G,Resource_Workload!$D:$D,$A9,Resource_Workload!$E:$E,$B9,Resource_Workload!$F:$F,$C9)</f>
        <v/>
      </c>
      <c r="F9">
        <f>SUMIFS(Resource_Workload!$P:$P,Resource_Workload!$D:$D,$A9,Resource_Workload!$E:$E,$B9,Resource_Workload!$F:$F,$C9)</f>
        <v/>
      </c>
      <c r="G9">
        <f>SUMIFS(Resource_Workload!$Q:$Q,Resource_Workload!$D:$D,$A9,Resource_Workload!$E:$E,$B9,Resource_Workload!$F:$F,$C9)</f>
        <v/>
      </c>
      <c r="H9">
        <f>SUMIFS(Resource_Workload!$R:$R,Resource_Workload!$D:$D,$A9,Resource_Workload!$E:$E,$B9,Resource_Workload!$F:$F,$C9)</f>
        <v/>
      </c>
      <c r="I9">
        <f>SUMIFS(Resource_Workload!$S:$S,Resource_Workload!$D:$D,$A9,Resource_Workload!$E:$E,$B9,Resource_Workload!$F:$F,$C9)</f>
        <v/>
      </c>
      <c r="J9">
        <f>SUMIFS(Resource_Workload!$T:$T,Resource_Workload!$D:$D,$A9,Resource_Workload!$E:$E,$B9,Resource_Workload!$F:$F,$C9)</f>
        <v/>
      </c>
      <c r="K9">
        <f>SUMIFS(Resource_Workload!$U:$U,Resource_Workload!$D:$D,$A9,Resource_Workload!$E:$E,$B9,Resource_Workload!$F:$F,$C9)</f>
        <v/>
      </c>
      <c r="L9">
        <f>SUMIFS(Resource_Workload!$V:$V,Resource_Workload!$D:$D,$A9,Resource_Workload!$E:$E,$B9,Resource_Workload!$F:$F,$C9)</f>
        <v/>
      </c>
      <c r="M9">
        <f>SUMIFS(Resource_Workload!$W:$W,Resource_Workload!$D:$D,$A9,Resource_Workload!$E:$E,$B9,Resource_Workload!$F:$F,$C9)</f>
        <v/>
      </c>
      <c r="N9">
        <f>SUMIFS(Resource_Workload!$X:$X,Resource_Workload!$D:$D,$A9,Resource_Workload!$E:$E,$B9,Resource_Workload!$F:$F,$C9)</f>
        <v/>
      </c>
      <c r="O9">
        <f>IFERROR(N9/(E9*8),0)</f>
        <v/>
      </c>
      <c r="P9">
        <f>AVERAGEIFS(Resource_Workload!$Y:$Y,Resource_Workload!$D:$D,$A9,Resource_Workload!$E:$E,$B9,Resource_Workload!$F:$F,$C9)</f>
        <v/>
      </c>
      <c r="Q9">
        <f>SUMIFS(Resource_Workload!$Z:$Z,Resource_Workload!$D:$D,$A9,Resource_Workload!$E:$E,$B9,Resource_Workload!$F:$F,$C9)</f>
        <v/>
      </c>
    </row>
    <row r="10">
      <c r="A10" t="inlineStr">
        <is>
          <t>ART 5</t>
        </is>
      </c>
      <c r="B10" t="inlineStr">
        <is>
          <t>Team Alpha</t>
        </is>
      </c>
      <c r="C10" t="inlineStr">
        <is>
          <t>Avengers Intelligence</t>
        </is>
      </c>
      <c r="D10">
        <f>COUNTIFS(Resource_Workload!$D:$D,$A10,Resource_Workload!$E:$E,$B10,Resource_Workload!$F:$F,$C10)</f>
        <v/>
      </c>
      <c r="E10">
        <f>SUMIFS(Resource_Workload!$G:$G,Resource_Workload!$D:$D,$A10,Resource_Workload!$E:$E,$B10,Resource_Workload!$F:$F,$C10)</f>
        <v/>
      </c>
      <c r="F10">
        <f>SUMIFS(Resource_Workload!$P:$P,Resource_Workload!$D:$D,$A10,Resource_Workload!$E:$E,$B10,Resource_Workload!$F:$F,$C10)</f>
        <v/>
      </c>
      <c r="G10">
        <f>SUMIFS(Resource_Workload!$Q:$Q,Resource_Workload!$D:$D,$A10,Resource_Workload!$E:$E,$B10,Resource_Workload!$F:$F,$C10)</f>
        <v/>
      </c>
      <c r="H10">
        <f>SUMIFS(Resource_Workload!$R:$R,Resource_Workload!$D:$D,$A10,Resource_Workload!$E:$E,$B10,Resource_Workload!$F:$F,$C10)</f>
        <v/>
      </c>
      <c r="I10">
        <f>SUMIFS(Resource_Workload!$S:$S,Resource_Workload!$D:$D,$A10,Resource_Workload!$E:$E,$B10,Resource_Workload!$F:$F,$C10)</f>
        <v/>
      </c>
      <c r="J10">
        <f>SUMIFS(Resource_Workload!$T:$T,Resource_Workload!$D:$D,$A10,Resource_Workload!$E:$E,$B10,Resource_Workload!$F:$F,$C10)</f>
        <v/>
      </c>
      <c r="K10">
        <f>SUMIFS(Resource_Workload!$U:$U,Resource_Workload!$D:$D,$A10,Resource_Workload!$E:$E,$B10,Resource_Workload!$F:$F,$C10)</f>
        <v/>
      </c>
      <c r="L10">
        <f>SUMIFS(Resource_Workload!$V:$V,Resource_Workload!$D:$D,$A10,Resource_Workload!$E:$E,$B10,Resource_Workload!$F:$F,$C10)</f>
        <v/>
      </c>
      <c r="M10">
        <f>SUMIFS(Resource_Workload!$W:$W,Resource_Workload!$D:$D,$A10,Resource_Workload!$E:$E,$B10,Resource_Workload!$F:$F,$C10)</f>
        <v/>
      </c>
      <c r="N10">
        <f>SUMIFS(Resource_Workload!$X:$X,Resource_Workload!$D:$D,$A10,Resource_Workload!$E:$E,$B10,Resource_Workload!$F:$F,$C10)</f>
        <v/>
      </c>
      <c r="O10">
        <f>IFERROR(N10/(E10*8),0)</f>
        <v/>
      </c>
      <c r="P10">
        <f>AVERAGEIFS(Resource_Workload!$Y:$Y,Resource_Workload!$D:$D,$A10,Resource_Workload!$E:$E,$B10,Resource_Workload!$F:$F,$C10)</f>
        <v/>
      </c>
      <c r="Q10">
        <f>SUMIFS(Resource_Workload!$Z:$Z,Resource_Workload!$D:$D,$A10,Resource_Workload!$E:$E,$B10,Resource_Workload!$F:$F,$C10)</f>
        <v/>
      </c>
    </row>
    <row r="11">
      <c r="A11" t="inlineStr">
        <is>
          <t>ART 5</t>
        </is>
      </c>
      <c r="B11" t="inlineStr">
        <is>
          <t>Team Beta</t>
        </is>
      </c>
      <c r="C11" t="inlineStr">
        <is>
          <t>Justice League Analytics</t>
        </is>
      </c>
      <c r="D11">
        <f>COUNTIFS(Resource_Workload!$D:$D,$A11,Resource_Workload!$E:$E,$B11,Resource_Workload!$F:$F,$C11)</f>
        <v/>
      </c>
      <c r="E11">
        <f>SUMIFS(Resource_Workload!$G:$G,Resource_Workload!$D:$D,$A11,Resource_Workload!$E:$E,$B11,Resource_Workload!$F:$F,$C11)</f>
        <v/>
      </c>
      <c r="F11">
        <f>SUMIFS(Resource_Workload!$P:$P,Resource_Workload!$D:$D,$A11,Resource_Workload!$E:$E,$B11,Resource_Workload!$F:$F,$C11)</f>
        <v/>
      </c>
      <c r="G11">
        <f>SUMIFS(Resource_Workload!$Q:$Q,Resource_Workload!$D:$D,$A11,Resource_Workload!$E:$E,$B11,Resource_Workload!$F:$F,$C11)</f>
        <v/>
      </c>
      <c r="H11">
        <f>SUMIFS(Resource_Workload!$R:$R,Resource_Workload!$D:$D,$A11,Resource_Workload!$E:$E,$B11,Resource_Workload!$F:$F,$C11)</f>
        <v/>
      </c>
      <c r="I11">
        <f>SUMIFS(Resource_Workload!$S:$S,Resource_Workload!$D:$D,$A11,Resource_Workload!$E:$E,$B11,Resource_Workload!$F:$F,$C11)</f>
        <v/>
      </c>
      <c r="J11">
        <f>SUMIFS(Resource_Workload!$T:$T,Resource_Workload!$D:$D,$A11,Resource_Workload!$E:$E,$B11,Resource_Workload!$F:$F,$C11)</f>
        <v/>
      </c>
      <c r="K11">
        <f>SUMIFS(Resource_Workload!$U:$U,Resource_Workload!$D:$D,$A11,Resource_Workload!$E:$E,$B11,Resource_Workload!$F:$F,$C11)</f>
        <v/>
      </c>
      <c r="L11">
        <f>SUMIFS(Resource_Workload!$V:$V,Resource_Workload!$D:$D,$A11,Resource_Workload!$E:$E,$B11,Resource_Workload!$F:$F,$C11)</f>
        <v/>
      </c>
      <c r="M11">
        <f>SUMIFS(Resource_Workload!$W:$W,Resource_Workload!$D:$D,$A11,Resource_Workload!$E:$E,$B11,Resource_Workload!$F:$F,$C11)</f>
        <v/>
      </c>
      <c r="N11">
        <f>SUMIFS(Resource_Workload!$X:$X,Resource_Workload!$D:$D,$A11,Resource_Workload!$E:$E,$B11,Resource_Workload!$F:$F,$C11)</f>
        <v/>
      </c>
      <c r="O11">
        <f>IFERROR(N11/(E11*8),0)</f>
        <v/>
      </c>
      <c r="P11">
        <f>AVERAGEIFS(Resource_Workload!$Y:$Y,Resource_Workload!$D:$D,$A11,Resource_Workload!$E:$E,$B11,Resource_Workload!$F:$F,$C11)</f>
        <v/>
      </c>
      <c r="Q11">
        <f>SUMIFS(Resource_Workload!$Z:$Z,Resource_Workload!$D:$D,$A11,Resource_Workload!$E:$E,$B11,Resource_Workload!$F:$F,$C11)</f>
        <v/>
      </c>
    </row>
    <row r="12">
      <c r="A12" t="inlineStr">
        <is>
          <t>ART 6</t>
        </is>
      </c>
      <c r="B12" t="inlineStr">
        <is>
          <t>Team Alpha</t>
        </is>
      </c>
      <c r="C12" t="inlineStr">
        <is>
          <t>X-Men Coordination</t>
        </is>
      </c>
      <c r="D12">
        <f>COUNTIFS(Resource_Workload!$D:$D,$A12,Resource_Workload!$E:$E,$B12,Resource_Workload!$F:$F,$C12)</f>
        <v/>
      </c>
      <c r="E12">
        <f>SUMIFS(Resource_Workload!$G:$G,Resource_Workload!$D:$D,$A12,Resource_Workload!$E:$E,$B12,Resource_Workload!$F:$F,$C12)</f>
        <v/>
      </c>
      <c r="F12">
        <f>SUMIFS(Resource_Workload!$P:$P,Resource_Workload!$D:$D,$A12,Resource_Workload!$E:$E,$B12,Resource_Workload!$F:$F,$C12)</f>
        <v/>
      </c>
      <c r="G12">
        <f>SUMIFS(Resource_Workload!$Q:$Q,Resource_Workload!$D:$D,$A12,Resource_Workload!$E:$E,$B12,Resource_Workload!$F:$F,$C12)</f>
        <v/>
      </c>
      <c r="H12">
        <f>SUMIFS(Resource_Workload!$R:$R,Resource_Workload!$D:$D,$A12,Resource_Workload!$E:$E,$B12,Resource_Workload!$F:$F,$C12)</f>
        <v/>
      </c>
      <c r="I12">
        <f>SUMIFS(Resource_Workload!$S:$S,Resource_Workload!$D:$D,$A12,Resource_Workload!$E:$E,$B12,Resource_Workload!$F:$F,$C12)</f>
        <v/>
      </c>
      <c r="J12">
        <f>SUMIFS(Resource_Workload!$T:$T,Resource_Workload!$D:$D,$A12,Resource_Workload!$E:$E,$B12,Resource_Workload!$F:$F,$C12)</f>
        <v/>
      </c>
      <c r="K12">
        <f>SUMIFS(Resource_Workload!$U:$U,Resource_Workload!$D:$D,$A12,Resource_Workload!$E:$E,$B12,Resource_Workload!$F:$F,$C12)</f>
        <v/>
      </c>
      <c r="L12">
        <f>SUMIFS(Resource_Workload!$V:$V,Resource_Workload!$D:$D,$A12,Resource_Workload!$E:$E,$B12,Resource_Workload!$F:$F,$C12)</f>
        <v/>
      </c>
      <c r="M12">
        <f>SUMIFS(Resource_Workload!$W:$W,Resource_Workload!$D:$D,$A12,Resource_Workload!$E:$E,$B12,Resource_Workload!$F:$F,$C12)</f>
        <v/>
      </c>
      <c r="N12">
        <f>SUMIFS(Resource_Workload!$X:$X,Resource_Workload!$D:$D,$A12,Resource_Workload!$E:$E,$B12,Resource_Workload!$F:$F,$C12)</f>
        <v/>
      </c>
      <c r="O12">
        <f>IFERROR(N12/(E12*8),0)</f>
        <v/>
      </c>
      <c r="P12">
        <f>AVERAGEIFS(Resource_Workload!$Y:$Y,Resource_Workload!$D:$D,$A12,Resource_Workload!$E:$E,$B12,Resource_Workload!$F:$F,$C12)</f>
        <v/>
      </c>
      <c r="Q12">
        <f>SUMIFS(Resource_Workload!$Z:$Z,Resource_Workload!$D:$D,$A12,Resource_Workload!$E:$E,$B12,Resource_Workload!$F:$F,$C12)</f>
        <v/>
      </c>
    </row>
    <row r="13">
      <c r="A13" t="inlineStr">
        <is>
          <t>ART 6</t>
        </is>
      </c>
      <c r="B13" t="inlineStr">
        <is>
          <t>Team Beta</t>
        </is>
      </c>
      <c r="C13" t="inlineStr">
        <is>
          <t>Fantastic Four Intelligence</t>
        </is>
      </c>
      <c r="D13">
        <f>COUNTIFS(Resource_Workload!$D:$D,$A13,Resource_Workload!$E:$E,$B13,Resource_Workload!$F:$F,$C13)</f>
        <v/>
      </c>
      <c r="E13">
        <f>SUMIFS(Resource_Workload!$G:$G,Resource_Workload!$D:$D,$A13,Resource_Workload!$E:$E,$B13,Resource_Workload!$F:$F,$C13)</f>
        <v/>
      </c>
      <c r="F13">
        <f>SUMIFS(Resource_Workload!$P:$P,Resource_Workload!$D:$D,$A13,Resource_Workload!$E:$E,$B13,Resource_Workload!$F:$F,$C13)</f>
        <v/>
      </c>
      <c r="G13">
        <f>SUMIFS(Resource_Workload!$Q:$Q,Resource_Workload!$D:$D,$A13,Resource_Workload!$E:$E,$B13,Resource_Workload!$F:$F,$C13)</f>
        <v/>
      </c>
      <c r="H13">
        <f>SUMIFS(Resource_Workload!$R:$R,Resource_Workload!$D:$D,$A13,Resource_Workload!$E:$E,$B13,Resource_Workload!$F:$F,$C13)</f>
        <v/>
      </c>
      <c r="I13">
        <f>SUMIFS(Resource_Workload!$S:$S,Resource_Workload!$D:$D,$A13,Resource_Workload!$E:$E,$B13,Resource_Workload!$F:$F,$C13)</f>
        <v/>
      </c>
      <c r="J13">
        <f>SUMIFS(Resource_Workload!$T:$T,Resource_Workload!$D:$D,$A13,Resource_Workload!$E:$E,$B13,Resource_Workload!$F:$F,$C13)</f>
        <v/>
      </c>
      <c r="K13">
        <f>SUMIFS(Resource_Workload!$U:$U,Resource_Workload!$D:$D,$A13,Resource_Workload!$E:$E,$B13,Resource_Workload!$F:$F,$C13)</f>
        <v/>
      </c>
      <c r="L13">
        <f>SUMIFS(Resource_Workload!$V:$V,Resource_Workload!$D:$D,$A13,Resource_Workload!$E:$E,$B13,Resource_Workload!$F:$F,$C13)</f>
        <v/>
      </c>
      <c r="M13">
        <f>SUMIFS(Resource_Workload!$W:$W,Resource_Workload!$D:$D,$A13,Resource_Workload!$E:$E,$B13,Resource_Workload!$F:$F,$C13)</f>
        <v/>
      </c>
      <c r="N13">
        <f>SUMIFS(Resource_Workload!$X:$X,Resource_Workload!$D:$D,$A13,Resource_Workload!$E:$E,$B13,Resource_Workload!$F:$F,$C13)</f>
        <v/>
      </c>
      <c r="O13">
        <f>IFERROR(N13/(E13*8),0)</f>
        <v/>
      </c>
      <c r="P13">
        <f>AVERAGEIFS(Resource_Workload!$Y:$Y,Resource_Workload!$D:$D,$A13,Resource_Workload!$E:$E,$B13,Resource_Workload!$F:$F,$C13)</f>
        <v/>
      </c>
      <c r="Q13">
        <f>SUMIFS(Resource_Workload!$Z:$Z,Resource_Workload!$D:$D,$A13,Resource_Workload!$E:$E,$B13,Resource_Workload!$F:$F,$C13)</f>
        <v/>
      </c>
    </row>
    <row r="14">
      <c r="A14" t="inlineStr">
        <is>
          <t>ART 7</t>
        </is>
      </c>
      <c r="B14" t="inlineStr">
        <is>
          <t>Team Alpha</t>
        </is>
      </c>
      <c r="C14" t="inlineStr">
        <is>
          <t>Avengers Assembly</t>
        </is>
      </c>
      <c r="D14">
        <f>COUNTIFS(Resource_Workload!$D:$D,$A14,Resource_Workload!$E:$E,$B14,Resource_Workload!$F:$F,$C14)</f>
        <v/>
      </c>
      <c r="E14">
        <f>SUMIFS(Resource_Workload!$G:$G,Resource_Workload!$D:$D,$A14,Resource_Workload!$E:$E,$B14,Resource_Workload!$F:$F,$C14)</f>
        <v/>
      </c>
      <c r="F14">
        <f>SUMIFS(Resource_Workload!$P:$P,Resource_Workload!$D:$D,$A14,Resource_Workload!$E:$E,$B14,Resource_Workload!$F:$F,$C14)</f>
        <v/>
      </c>
      <c r="G14">
        <f>SUMIFS(Resource_Workload!$Q:$Q,Resource_Workload!$D:$D,$A14,Resource_Workload!$E:$E,$B14,Resource_Workload!$F:$F,$C14)</f>
        <v/>
      </c>
      <c r="H14">
        <f>SUMIFS(Resource_Workload!$R:$R,Resource_Workload!$D:$D,$A14,Resource_Workload!$E:$E,$B14,Resource_Workload!$F:$F,$C14)</f>
        <v/>
      </c>
      <c r="I14">
        <f>SUMIFS(Resource_Workload!$S:$S,Resource_Workload!$D:$D,$A14,Resource_Workload!$E:$E,$B14,Resource_Workload!$F:$F,$C14)</f>
        <v/>
      </c>
      <c r="J14">
        <f>SUMIFS(Resource_Workload!$T:$T,Resource_Workload!$D:$D,$A14,Resource_Workload!$E:$E,$B14,Resource_Workload!$F:$F,$C14)</f>
        <v/>
      </c>
      <c r="K14">
        <f>SUMIFS(Resource_Workload!$U:$U,Resource_Workload!$D:$D,$A14,Resource_Workload!$E:$E,$B14,Resource_Workload!$F:$F,$C14)</f>
        <v/>
      </c>
      <c r="L14">
        <f>SUMIFS(Resource_Workload!$V:$V,Resource_Workload!$D:$D,$A14,Resource_Workload!$E:$E,$B14,Resource_Workload!$F:$F,$C14)</f>
        <v/>
      </c>
      <c r="M14">
        <f>SUMIFS(Resource_Workload!$W:$W,Resource_Workload!$D:$D,$A14,Resource_Workload!$E:$E,$B14,Resource_Workload!$F:$F,$C14)</f>
        <v/>
      </c>
      <c r="N14">
        <f>SUMIFS(Resource_Workload!$X:$X,Resource_Workload!$D:$D,$A14,Resource_Workload!$E:$E,$B14,Resource_Workload!$F:$F,$C14)</f>
        <v/>
      </c>
      <c r="O14">
        <f>IFERROR(N14/(E14*8),0)</f>
        <v/>
      </c>
      <c r="P14">
        <f>AVERAGEIFS(Resource_Workload!$Y:$Y,Resource_Workload!$D:$D,$A14,Resource_Workload!$E:$E,$B14,Resource_Workload!$F:$F,$C14)</f>
        <v/>
      </c>
      <c r="Q14">
        <f>SUMIFS(Resource_Workload!$Z:$Z,Resource_Workload!$D:$D,$A14,Resource_Workload!$E:$E,$B14,Resource_Workload!$F:$F,$C14)</f>
        <v/>
      </c>
    </row>
    <row r="15">
      <c r="A15" t="inlineStr">
        <is>
          <t>ART 7</t>
        </is>
      </c>
      <c r="B15" t="inlineStr">
        <is>
          <t>Team Beta</t>
        </is>
      </c>
      <c r="C15" t="inlineStr">
        <is>
          <t>Justice League Validation</t>
        </is>
      </c>
      <c r="D15">
        <f>COUNTIFS(Resource_Workload!$D:$D,$A15,Resource_Workload!$E:$E,$B15,Resource_Workload!$F:$F,$C15)</f>
        <v/>
      </c>
      <c r="E15">
        <f>SUMIFS(Resource_Workload!$G:$G,Resource_Workload!$D:$D,$A15,Resource_Workload!$E:$E,$B15,Resource_Workload!$F:$F,$C15)</f>
        <v/>
      </c>
      <c r="F15">
        <f>SUMIFS(Resource_Workload!$P:$P,Resource_Workload!$D:$D,$A15,Resource_Workload!$E:$E,$B15,Resource_Workload!$F:$F,$C15)</f>
        <v/>
      </c>
      <c r="G15">
        <f>SUMIFS(Resource_Workload!$Q:$Q,Resource_Workload!$D:$D,$A15,Resource_Workload!$E:$E,$B15,Resource_Workload!$F:$F,$C15)</f>
        <v/>
      </c>
      <c r="H15">
        <f>SUMIFS(Resource_Workload!$R:$R,Resource_Workload!$D:$D,$A15,Resource_Workload!$E:$E,$B15,Resource_Workload!$F:$F,$C15)</f>
        <v/>
      </c>
      <c r="I15">
        <f>SUMIFS(Resource_Workload!$S:$S,Resource_Workload!$D:$D,$A15,Resource_Workload!$E:$E,$B15,Resource_Workload!$F:$F,$C15)</f>
        <v/>
      </c>
      <c r="J15">
        <f>SUMIFS(Resource_Workload!$T:$T,Resource_Workload!$D:$D,$A15,Resource_Workload!$E:$E,$B15,Resource_Workload!$F:$F,$C15)</f>
        <v/>
      </c>
      <c r="K15">
        <f>SUMIFS(Resource_Workload!$U:$U,Resource_Workload!$D:$D,$A15,Resource_Workload!$E:$E,$B15,Resource_Workload!$F:$F,$C15)</f>
        <v/>
      </c>
      <c r="L15">
        <f>SUMIFS(Resource_Workload!$V:$V,Resource_Workload!$D:$D,$A15,Resource_Workload!$E:$E,$B15,Resource_Workload!$F:$F,$C15)</f>
        <v/>
      </c>
      <c r="M15">
        <f>SUMIFS(Resource_Workload!$W:$W,Resource_Workload!$D:$D,$A15,Resource_Workload!$E:$E,$B15,Resource_Workload!$F:$F,$C15)</f>
        <v/>
      </c>
      <c r="N15">
        <f>SUMIFS(Resource_Workload!$X:$X,Resource_Workload!$D:$D,$A15,Resource_Workload!$E:$E,$B15,Resource_Workload!$F:$F,$C15)</f>
        <v/>
      </c>
      <c r="O15">
        <f>IFERROR(N15/(E15*8),0)</f>
        <v/>
      </c>
      <c r="P15">
        <f>AVERAGEIFS(Resource_Workload!$Y:$Y,Resource_Workload!$D:$D,$A15,Resource_Workload!$E:$E,$B15,Resource_Workload!$F:$F,$C15)</f>
        <v/>
      </c>
      <c r="Q15">
        <f>SUMIFS(Resource_Workload!$Z:$Z,Resource_Workload!$D:$D,$A15,Resource_Workload!$E:$E,$B15,Resource_Workload!$F:$F,$C15)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Resources</t>
        </is>
      </c>
      <c r="B2">
        <f>COUNTA(Resource_Workload!A:A)-1</f>
        <v/>
      </c>
    </row>
    <row r="3">
      <c r="A3" t="inlineStr">
        <is>
          <t>Avg Utilization (all)</t>
        </is>
      </c>
      <c r="B3">
        <f>AVERAGE(Resource_Workload!Y:Y)</f>
        <v/>
      </c>
    </row>
    <row r="4">
      <c r="A4" t="inlineStr">
        <is>
          <t>Overutilized Count (&gt;1.0 avg)</t>
        </is>
      </c>
      <c r="B4">
        <f>COUNTIF(Resource_Workload!Y:Y,"&gt;1")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2025-10-28T21:43:02Z</dcterms:created>
  <dcterms:modified xsi:type="dcterms:W3CDTF">2025-10-28T21:43:03Z</dcterms:modified>
</cp:coreProperties>
</file>